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GitHub\py-eto\examples\data\"/>
    </mc:Choice>
  </mc:AlternateContent>
  <xr:revisionPtr revIDLastSave="0" documentId="13_ncr:1_{0EAAB6D7-AD2C-458F-BE71-4591B4CCA300}" xr6:coauthVersionLast="47" xr6:coauthVersionMax="47" xr10:uidLastSave="{00000000-0000-0000-0000-000000000000}"/>
  <bookViews>
    <workbookView xWindow="40850" yWindow="2240" windowWidth="12220" windowHeight="1870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2" i="2"/>
</calcChain>
</file>

<file path=xl/sharedStrings.xml><?xml version="1.0" encoding="utf-8"?>
<sst xmlns="http://schemas.openxmlformats.org/spreadsheetml/2006/main" count="52" uniqueCount="42">
  <si>
    <t>No</t>
  </si>
  <si>
    <t>Tmax</t>
  </si>
  <si>
    <t>Tmin</t>
  </si>
  <si>
    <t>DOY</t>
  </si>
  <si>
    <t>Latitude</t>
  </si>
  <si>
    <t>Year</t>
  </si>
  <si>
    <t>Elevation</t>
  </si>
  <si>
    <t>RH_max</t>
  </si>
  <si>
    <t>RH_min</t>
  </si>
  <si>
    <t>u2</t>
  </si>
  <si>
    <t>T</t>
  </si>
  <si>
    <t>RH</t>
  </si>
  <si>
    <t>G</t>
  </si>
  <si>
    <t>Rn</t>
  </si>
  <si>
    <t>H</t>
  </si>
  <si>
    <t>LE</t>
  </si>
  <si>
    <t>Month</t>
  </si>
  <si>
    <t>Day</t>
  </si>
  <si>
    <t>Hour</t>
  </si>
  <si>
    <t>Minute</t>
  </si>
  <si>
    <t>TOD</t>
  </si>
  <si>
    <t>DEC</t>
  </si>
  <si>
    <t>Wind
Direction</t>
  </si>
  <si>
    <t>Sonic
Temp.</t>
  </si>
  <si>
    <t>Water
Vapor
ASP</t>
  </si>
  <si>
    <t>Deficit</t>
  </si>
  <si>
    <t>Atm.
Pressure</t>
  </si>
  <si>
    <r>
      <t>CO</t>
    </r>
    <r>
      <rPr>
        <b/>
        <vertAlign val="subscript"/>
        <sz val="10"/>
        <color theme="1"/>
        <rFont val="Times New Roman"/>
        <family val="1"/>
      </rPr>
      <t>2</t>
    </r>
    <r>
      <rPr>
        <b/>
        <sz val="10"/>
        <color theme="1"/>
        <rFont val="Times New Roman"/>
        <family val="1"/>
      </rPr>
      <t xml:space="preserve">
Density</t>
    </r>
  </si>
  <si>
    <t>Air
Density</t>
  </si>
  <si>
    <t>Specific
Heat</t>
  </si>
  <si>
    <t>Latent
Heat
Vapor.</t>
  </si>
  <si>
    <t>Incident
Solar</t>
  </si>
  <si>
    <t>Reflected
Solar</t>
  </si>
  <si>
    <t>Incident
Longwave</t>
  </si>
  <si>
    <t>Upwelling
Longwave</t>
  </si>
  <si>
    <r>
      <t>CO</t>
    </r>
    <r>
      <rPr>
        <b/>
        <vertAlign val="subscript"/>
        <sz val="10"/>
        <color theme="1"/>
        <rFont val="Times New Roman"/>
        <family val="1"/>
      </rPr>
      <t>2</t>
    </r>
    <r>
      <rPr>
        <b/>
        <sz val="10"/>
        <color theme="1"/>
        <rFont val="Times New Roman"/>
        <family val="1"/>
      </rPr>
      <t xml:space="preserve">
Flux</t>
    </r>
  </si>
  <si>
    <t>ustar</t>
  </si>
  <si>
    <t>Surface
Temp</t>
  </si>
  <si>
    <t>Soil
Temp</t>
  </si>
  <si>
    <t>Soil 
Moisture
Content</t>
  </si>
  <si>
    <t>Actual Vapor Pressure</t>
  </si>
  <si>
    <t>Saturation Vapor 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</si>
</sst>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Times New Roman"/>
      <family val="1"/>
    </font>
    <font>
      <b/>
      <vertAlign val="subscript"/>
      <sz val="10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B3"/>
        <bgColor indexed="64"/>
      </patternFill>
    </fill>
  </fills>
  <borders count="7">
    <border>
      <left/>
      <right/>
      <top/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2" fontId="2" fillId="5" borderId="5" xfId="1" applyNumberFormat="1" applyFont="1" applyFill="1" applyBorder="1" applyAlignment="1">
      <alignment horizontal="center" vertical="center" wrapText="1"/>
    </xf>
    <xf numFmtId="165" fontId="2" fillId="5" borderId="6" xfId="1" applyNumberFormat="1" applyFont="1" applyFill="1" applyBorder="1" applyAlignment="1">
      <alignment horizontal="center" vertical="center" wrapText="1"/>
    </xf>
    <xf numFmtId="2" fontId="2" fillId="5" borderId="6" xfId="1" applyNumberFormat="1" applyFont="1" applyFill="1" applyBorder="1" applyAlignment="1">
      <alignment horizontal="center" vertical="center" wrapText="1"/>
    </xf>
    <xf numFmtId="2" fontId="2" fillId="5" borderId="6" xfId="1" applyNumberFormat="1" applyFont="1" applyFill="1" applyBorder="1" applyAlignment="1">
      <alignment horizontal="center" vertical="center"/>
    </xf>
    <xf numFmtId="166" fontId="2" fillId="5" borderId="6" xfId="1" applyNumberFormat="1" applyFont="1" applyFill="1" applyBorder="1" applyAlignment="1">
      <alignment horizontal="center" vertical="center"/>
    </xf>
    <xf numFmtId="166" fontId="2" fillId="5" borderId="6" xfId="1" applyNumberFormat="1" applyFont="1" applyFill="1" applyBorder="1" applyAlignment="1">
      <alignment horizontal="center" vertical="center" wrapText="1"/>
    </xf>
    <xf numFmtId="0" fontId="2" fillId="4" borderId="1" xfId="1" applyFont="1" applyFill="1" applyBorder="1" applyAlignment="1">
      <alignment horizontal="center" vertical="center"/>
    </xf>
    <xf numFmtId="0" fontId="2" fillId="4" borderId="2" xfId="1" applyFont="1" applyFill="1" applyBorder="1" applyAlignment="1">
      <alignment horizontal="center" vertical="center"/>
    </xf>
    <xf numFmtId="2" fontId="2" fillId="4" borderId="2" xfId="1" applyNumberFormat="1" applyFont="1" applyFill="1" applyBorder="1" applyAlignment="1">
      <alignment horizontal="center" vertical="center"/>
    </xf>
    <xf numFmtId="164" fontId="2" fillId="4" borderId="3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500431D-7B4B-4798-82DC-BA4DF7518E4C}"/>
  </cellStyles>
  <dxfs count="2">
    <dxf>
      <numFmt numFmtId="0" formatCode="General"/>
    </dxf>
    <dxf>
      <font>
        <color theme="0" tint="-0.499984740745262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B32" sqref="B2:E32"/>
    </sheetView>
  </sheetViews>
  <sheetFormatPr defaultRowHeight="14.5" x14ac:dyDescent="0.35"/>
  <cols>
    <col min="5" max="5" width="9.81640625" bestFit="1" customWidth="1"/>
  </cols>
  <sheetData>
    <row r="1" spans="1:5" x14ac:dyDescent="0.35">
      <c r="A1" t="s">
        <v>0</v>
      </c>
      <c r="B1" t="s">
        <v>3</v>
      </c>
      <c r="C1" t="s">
        <v>1</v>
      </c>
      <c r="D1" t="s">
        <v>2</v>
      </c>
      <c r="E1" t="s">
        <v>4</v>
      </c>
    </row>
    <row r="2" spans="1:5" x14ac:dyDescent="0.35">
      <c r="A2">
        <v>1</v>
      </c>
      <c r="B2">
        <v>218</v>
      </c>
      <c r="C2">
        <v>38.299999999999997</v>
      </c>
      <c r="D2">
        <v>23.4</v>
      </c>
      <c r="E2">
        <v>37.365886000000003</v>
      </c>
    </row>
    <row r="3" spans="1:5" x14ac:dyDescent="0.35">
      <c r="A3">
        <v>2</v>
      </c>
      <c r="B3">
        <v>219</v>
      </c>
      <c r="C3">
        <v>38.4</v>
      </c>
      <c r="D3">
        <v>23.5</v>
      </c>
      <c r="E3">
        <v>37.365886000000003</v>
      </c>
    </row>
    <row r="4" spans="1:5" x14ac:dyDescent="0.35">
      <c r="A4">
        <v>3</v>
      </c>
      <c r="B4">
        <v>220</v>
      </c>
      <c r="C4">
        <v>38.5</v>
      </c>
      <c r="D4">
        <v>23.6</v>
      </c>
      <c r="E4">
        <v>37.365886000000003</v>
      </c>
    </row>
    <row r="5" spans="1:5" x14ac:dyDescent="0.35">
      <c r="A5">
        <v>4</v>
      </c>
      <c r="B5">
        <v>221</v>
      </c>
      <c r="C5">
        <v>38.6</v>
      </c>
      <c r="D5">
        <v>23.7</v>
      </c>
      <c r="E5">
        <v>37.365886000000003</v>
      </c>
    </row>
    <row r="6" spans="1:5" x14ac:dyDescent="0.35">
      <c r="A6">
        <v>5</v>
      </c>
      <c r="B6">
        <v>222</v>
      </c>
      <c r="C6">
        <v>38.700000000000003</v>
      </c>
      <c r="D6">
        <v>23.8</v>
      </c>
      <c r="E6">
        <v>37.365886000000003</v>
      </c>
    </row>
    <row r="7" spans="1:5" x14ac:dyDescent="0.35">
      <c r="A7">
        <v>6</v>
      </c>
      <c r="B7">
        <v>223</v>
      </c>
      <c r="C7">
        <v>38.799999999999997</v>
      </c>
      <c r="D7">
        <v>23.9</v>
      </c>
      <c r="E7">
        <v>37.365886000000003</v>
      </c>
    </row>
    <row r="8" spans="1:5" x14ac:dyDescent="0.35">
      <c r="A8">
        <v>7</v>
      </c>
      <c r="B8">
        <v>224</v>
      </c>
      <c r="C8">
        <v>38.9</v>
      </c>
      <c r="D8">
        <v>24</v>
      </c>
      <c r="E8">
        <v>37.365886000000003</v>
      </c>
    </row>
    <row r="9" spans="1:5" x14ac:dyDescent="0.35">
      <c r="A9">
        <v>8</v>
      </c>
      <c r="B9">
        <v>225</v>
      </c>
      <c r="C9">
        <v>39</v>
      </c>
      <c r="D9">
        <v>24.1</v>
      </c>
      <c r="E9">
        <v>37.365886000000003</v>
      </c>
    </row>
    <row r="10" spans="1:5" x14ac:dyDescent="0.35">
      <c r="A10">
        <v>9</v>
      </c>
      <c r="B10">
        <v>226</v>
      </c>
      <c r="C10">
        <v>39.1</v>
      </c>
      <c r="D10">
        <v>24.2</v>
      </c>
      <c r="E10">
        <v>37.365886000000003</v>
      </c>
    </row>
    <row r="11" spans="1:5" x14ac:dyDescent="0.35">
      <c r="A11">
        <v>10</v>
      </c>
      <c r="B11">
        <v>227</v>
      </c>
      <c r="C11">
        <v>39.200000000000003</v>
      </c>
      <c r="D11">
        <v>24.3</v>
      </c>
      <c r="E11">
        <v>37.365886000000003</v>
      </c>
    </row>
    <row r="12" spans="1:5" x14ac:dyDescent="0.35">
      <c r="A12">
        <v>11</v>
      </c>
      <c r="B12">
        <v>228</v>
      </c>
      <c r="C12">
        <v>39.299999999999997</v>
      </c>
      <c r="D12">
        <v>24.4</v>
      </c>
      <c r="E12">
        <v>37.365886000000003</v>
      </c>
    </row>
    <row r="13" spans="1:5" x14ac:dyDescent="0.35">
      <c r="A13">
        <v>12</v>
      </c>
      <c r="B13">
        <v>229</v>
      </c>
      <c r="C13">
        <v>39.4</v>
      </c>
      <c r="D13">
        <v>24.5</v>
      </c>
      <c r="E13">
        <v>37.365886000000003</v>
      </c>
    </row>
    <row r="14" spans="1:5" x14ac:dyDescent="0.35">
      <c r="A14">
        <v>13</v>
      </c>
      <c r="B14">
        <v>230</v>
      </c>
      <c r="C14">
        <v>39.5</v>
      </c>
      <c r="D14">
        <v>24.6</v>
      </c>
      <c r="E14">
        <v>37.365886000000003</v>
      </c>
    </row>
    <row r="15" spans="1:5" x14ac:dyDescent="0.35">
      <c r="A15">
        <v>14</v>
      </c>
      <c r="B15">
        <v>231</v>
      </c>
      <c r="C15">
        <v>39.6</v>
      </c>
      <c r="D15">
        <v>24.7</v>
      </c>
      <c r="E15">
        <v>37.365886000000003</v>
      </c>
    </row>
    <row r="16" spans="1:5" x14ac:dyDescent="0.35">
      <c r="A16">
        <v>15</v>
      </c>
      <c r="B16">
        <v>232</v>
      </c>
      <c r="C16">
        <v>39.700000000000003</v>
      </c>
      <c r="D16">
        <v>24.8</v>
      </c>
      <c r="E16">
        <v>37.365886000000003</v>
      </c>
    </row>
    <row r="17" spans="1:5" x14ac:dyDescent="0.35">
      <c r="A17">
        <v>16</v>
      </c>
      <c r="B17">
        <v>233</v>
      </c>
      <c r="C17">
        <v>39.799999999999997</v>
      </c>
      <c r="D17">
        <v>24.9</v>
      </c>
      <c r="E17">
        <v>37.365886000000003</v>
      </c>
    </row>
    <row r="18" spans="1:5" x14ac:dyDescent="0.35">
      <c r="A18">
        <v>17</v>
      </c>
      <c r="B18">
        <v>234</v>
      </c>
      <c r="C18">
        <v>39.9</v>
      </c>
      <c r="D18">
        <v>25</v>
      </c>
      <c r="E18">
        <v>37.365886000000003</v>
      </c>
    </row>
    <row r="19" spans="1:5" x14ac:dyDescent="0.35">
      <c r="A19">
        <v>18</v>
      </c>
      <c r="B19">
        <v>235</v>
      </c>
      <c r="C19">
        <v>40</v>
      </c>
      <c r="D19">
        <v>25.1</v>
      </c>
      <c r="E19">
        <v>37.365886000000003</v>
      </c>
    </row>
    <row r="20" spans="1:5" x14ac:dyDescent="0.35">
      <c r="A20">
        <v>19</v>
      </c>
      <c r="B20">
        <v>236</v>
      </c>
      <c r="C20">
        <v>40.1</v>
      </c>
      <c r="D20">
        <v>25.2</v>
      </c>
      <c r="E20">
        <v>37.365886000000003</v>
      </c>
    </row>
    <row r="21" spans="1:5" x14ac:dyDescent="0.35">
      <c r="A21">
        <v>20</v>
      </c>
      <c r="B21">
        <v>237</v>
      </c>
      <c r="C21">
        <v>40.200000000000003</v>
      </c>
      <c r="D21">
        <v>25.3</v>
      </c>
      <c r="E21">
        <v>37.365886000000003</v>
      </c>
    </row>
    <row r="22" spans="1:5" x14ac:dyDescent="0.35">
      <c r="A22">
        <v>21</v>
      </c>
      <c r="B22">
        <v>238</v>
      </c>
      <c r="C22">
        <v>40.299999999999997</v>
      </c>
      <c r="D22">
        <v>25.4</v>
      </c>
      <c r="E22">
        <v>37.365886000000003</v>
      </c>
    </row>
    <row r="23" spans="1:5" x14ac:dyDescent="0.35">
      <c r="A23">
        <v>22</v>
      </c>
      <c r="B23">
        <v>239</v>
      </c>
      <c r="C23">
        <v>40.4</v>
      </c>
      <c r="D23">
        <v>25.5</v>
      </c>
      <c r="E23">
        <v>37.365886000000003</v>
      </c>
    </row>
    <row r="24" spans="1:5" x14ac:dyDescent="0.35">
      <c r="A24">
        <v>23</v>
      </c>
      <c r="B24">
        <v>240</v>
      </c>
      <c r="C24">
        <v>40.5</v>
      </c>
      <c r="D24">
        <v>25.6</v>
      </c>
      <c r="E24">
        <v>37.365886000000003</v>
      </c>
    </row>
    <row r="25" spans="1:5" x14ac:dyDescent="0.35">
      <c r="A25">
        <v>24</v>
      </c>
      <c r="B25">
        <v>241</v>
      </c>
      <c r="C25">
        <v>40.6</v>
      </c>
      <c r="D25">
        <v>25.7</v>
      </c>
      <c r="E25">
        <v>37.365886000000003</v>
      </c>
    </row>
    <row r="26" spans="1:5" x14ac:dyDescent="0.35">
      <c r="A26">
        <v>25</v>
      </c>
      <c r="B26">
        <v>242</v>
      </c>
      <c r="C26">
        <v>40.700000000000003</v>
      </c>
      <c r="D26">
        <v>25.8</v>
      </c>
      <c r="E26">
        <v>37.365886000000003</v>
      </c>
    </row>
    <row r="27" spans="1:5" x14ac:dyDescent="0.35">
      <c r="A27">
        <v>26</v>
      </c>
      <c r="B27">
        <v>243</v>
      </c>
      <c r="C27">
        <v>40.799999999999997</v>
      </c>
      <c r="D27">
        <v>25.9</v>
      </c>
      <c r="E27">
        <v>37.365886000000003</v>
      </c>
    </row>
    <row r="28" spans="1:5" x14ac:dyDescent="0.35">
      <c r="A28">
        <v>27</v>
      </c>
      <c r="B28">
        <v>244</v>
      </c>
      <c r="C28">
        <v>40.9</v>
      </c>
      <c r="D28">
        <v>26</v>
      </c>
      <c r="E28">
        <v>37.365886000000003</v>
      </c>
    </row>
    <row r="29" spans="1:5" x14ac:dyDescent="0.35">
      <c r="A29">
        <v>28</v>
      </c>
      <c r="B29">
        <v>245</v>
      </c>
      <c r="C29">
        <v>41</v>
      </c>
      <c r="D29">
        <v>26.1</v>
      </c>
      <c r="E29">
        <v>37.365886000000003</v>
      </c>
    </row>
    <row r="30" spans="1:5" x14ac:dyDescent="0.35">
      <c r="A30">
        <v>29</v>
      </c>
      <c r="B30">
        <v>246</v>
      </c>
      <c r="C30">
        <v>41.1</v>
      </c>
      <c r="D30">
        <v>26.2</v>
      </c>
      <c r="E30">
        <v>37.365886000000003</v>
      </c>
    </row>
    <row r="31" spans="1:5" x14ac:dyDescent="0.35">
      <c r="A31">
        <v>30</v>
      </c>
      <c r="B31">
        <v>247</v>
      </c>
      <c r="C31">
        <v>41.2</v>
      </c>
      <c r="D31">
        <v>26.3</v>
      </c>
      <c r="E31">
        <v>37.365886000000003</v>
      </c>
    </row>
    <row r="32" spans="1:5" x14ac:dyDescent="0.35">
      <c r="A32">
        <v>31</v>
      </c>
      <c r="B32">
        <v>248</v>
      </c>
      <c r="C32">
        <v>41.3</v>
      </c>
      <c r="D32">
        <v>26.4</v>
      </c>
      <c r="E32">
        <v>37.365886000000003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F93F-A300-4E79-8C95-36B5B9F96240}">
  <dimension ref="A1:M32"/>
  <sheetViews>
    <sheetView topLeftCell="B1" workbookViewId="0">
      <selection activeCell="G2" sqref="G2"/>
    </sheetView>
  </sheetViews>
  <sheetFormatPr defaultRowHeight="14.5" x14ac:dyDescent="0.35"/>
  <sheetData>
    <row r="1" spans="1:13" x14ac:dyDescent="0.35">
      <c r="A1" t="s">
        <v>5</v>
      </c>
      <c r="B1" t="s">
        <v>3</v>
      </c>
      <c r="C1" t="s">
        <v>4</v>
      </c>
      <c r="D1" t="s">
        <v>6</v>
      </c>
      <c r="E1" t="s">
        <v>1</v>
      </c>
      <c r="F1" t="s">
        <v>2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35">
      <c r="A2">
        <v>2025</v>
      </c>
      <c r="B2">
        <v>218</v>
      </c>
      <c r="C2">
        <v>37.365886000000003</v>
      </c>
      <c r="D2">
        <v>65</v>
      </c>
      <c r="E2">
        <v>38.299999999999997</v>
      </c>
      <c r="F2">
        <v>23.4</v>
      </c>
      <c r="G2">
        <v>71.3</v>
      </c>
      <c r="H2">
        <v>25.3</v>
      </c>
      <c r="I2">
        <v>1.5</v>
      </c>
      <c r="J2">
        <f>E2-8.5</f>
        <v>29.799999999999997</v>
      </c>
      <c r="K2">
        <f>G2-25</f>
        <v>46.3</v>
      </c>
      <c r="L2">
        <v>0</v>
      </c>
      <c r="M2">
        <v>4520</v>
      </c>
    </row>
    <row r="3" spans="1:13" x14ac:dyDescent="0.35">
      <c r="A3">
        <v>2025</v>
      </c>
      <c r="B3">
        <v>219</v>
      </c>
      <c r="C3">
        <v>37.365886000000003</v>
      </c>
      <c r="D3">
        <v>65</v>
      </c>
      <c r="E3">
        <v>38.4</v>
      </c>
      <c r="F3">
        <v>23.5</v>
      </c>
      <c r="G3">
        <v>71.2</v>
      </c>
      <c r="H3">
        <v>25.2</v>
      </c>
      <c r="I3">
        <v>1.7</v>
      </c>
      <c r="J3">
        <f t="shared" ref="J3:J32" si="0">E3-8.5</f>
        <v>29.9</v>
      </c>
      <c r="K3">
        <f t="shared" ref="K3:K32" si="1">G3-25</f>
        <v>46.2</v>
      </c>
      <c r="L3">
        <v>0</v>
      </c>
      <c r="M3">
        <v>4520</v>
      </c>
    </row>
    <row r="4" spans="1:13" x14ac:dyDescent="0.35">
      <c r="A4">
        <v>2025</v>
      </c>
      <c r="B4">
        <v>220</v>
      </c>
      <c r="C4">
        <v>37.365886000000003</v>
      </c>
      <c r="D4">
        <v>65</v>
      </c>
      <c r="E4">
        <v>38.5</v>
      </c>
      <c r="F4">
        <v>23.6</v>
      </c>
      <c r="G4">
        <v>71.099999999999994</v>
      </c>
      <c r="H4">
        <v>25.1</v>
      </c>
      <c r="I4">
        <v>1.3</v>
      </c>
      <c r="J4">
        <f t="shared" si="0"/>
        <v>30</v>
      </c>
      <c r="K4">
        <f t="shared" si="1"/>
        <v>46.099999999999994</v>
      </c>
      <c r="L4">
        <v>0</v>
      </c>
      <c r="M4">
        <v>4520</v>
      </c>
    </row>
    <row r="5" spans="1:13" x14ac:dyDescent="0.35">
      <c r="A5">
        <v>2025</v>
      </c>
      <c r="B5">
        <v>221</v>
      </c>
      <c r="C5">
        <v>37.365886000000003</v>
      </c>
      <c r="D5">
        <v>65</v>
      </c>
      <c r="E5">
        <v>38.6</v>
      </c>
      <c r="F5">
        <v>23.7</v>
      </c>
      <c r="G5">
        <v>71</v>
      </c>
      <c r="H5">
        <v>25</v>
      </c>
      <c r="I5">
        <v>2.1</v>
      </c>
      <c r="J5">
        <f t="shared" si="0"/>
        <v>30.1</v>
      </c>
      <c r="K5">
        <f t="shared" si="1"/>
        <v>46</v>
      </c>
      <c r="L5">
        <v>0</v>
      </c>
      <c r="M5">
        <v>4520</v>
      </c>
    </row>
    <row r="6" spans="1:13" x14ac:dyDescent="0.35">
      <c r="A6">
        <v>2025</v>
      </c>
      <c r="B6">
        <v>222</v>
      </c>
      <c r="C6">
        <v>37.365886000000003</v>
      </c>
      <c r="D6">
        <v>65</v>
      </c>
      <c r="E6">
        <v>38.700000000000003</v>
      </c>
      <c r="F6">
        <v>23.8</v>
      </c>
      <c r="G6">
        <v>70.900000000000006</v>
      </c>
      <c r="H6">
        <v>24.9</v>
      </c>
      <c r="I6">
        <v>1.1000000000000001</v>
      </c>
      <c r="J6">
        <f t="shared" si="0"/>
        <v>30.200000000000003</v>
      </c>
      <c r="K6">
        <f t="shared" si="1"/>
        <v>45.900000000000006</v>
      </c>
      <c r="L6">
        <v>0</v>
      </c>
      <c r="M6">
        <v>4520</v>
      </c>
    </row>
    <row r="7" spans="1:13" x14ac:dyDescent="0.35">
      <c r="A7">
        <v>2025</v>
      </c>
      <c r="B7">
        <v>223</v>
      </c>
      <c r="C7">
        <v>37.365886000000003</v>
      </c>
      <c r="D7">
        <v>65</v>
      </c>
      <c r="E7">
        <v>38.799999999999997</v>
      </c>
      <c r="F7">
        <v>23.9</v>
      </c>
      <c r="G7">
        <v>70.8</v>
      </c>
      <c r="H7">
        <v>24.8</v>
      </c>
      <c r="I7">
        <v>1.5</v>
      </c>
      <c r="J7">
        <f t="shared" si="0"/>
        <v>30.299999999999997</v>
      </c>
      <c r="K7">
        <f t="shared" si="1"/>
        <v>45.8</v>
      </c>
      <c r="L7">
        <v>0</v>
      </c>
      <c r="M7">
        <v>4520</v>
      </c>
    </row>
    <row r="8" spans="1:13" x14ac:dyDescent="0.35">
      <c r="A8">
        <v>2025</v>
      </c>
      <c r="B8">
        <v>224</v>
      </c>
      <c r="C8">
        <v>37.365886000000003</v>
      </c>
      <c r="D8">
        <v>65</v>
      </c>
      <c r="E8">
        <v>38.9</v>
      </c>
      <c r="F8">
        <v>24</v>
      </c>
      <c r="G8">
        <v>70.7</v>
      </c>
      <c r="H8">
        <v>24.7</v>
      </c>
      <c r="I8">
        <v>1.7</v>
      </c>
      <c r="J8">
        <f t="shared" si="0"/>
        <v>30.4</v>
      </c>
      <c r="K8">
        <f t="shared" si="1"/>
        <v>45.7</v>
      </c>
      <c r="L8">
        <v>0</v>
      </c>
      <c r="M8">
        <v>4520</v>
      </c>
    </row>
    <row r="9" spans="1:13" x14ac:dyDescent="0.35">
      <c r="A9">
        <v>2025</v>
      </c>
      <c r="B9">
        <v>225</v>
      </c>
      <c r="C9">
        <v>37.365886000000003</v>
      </c>
      <c r="D9">
        <v>65</v>
      </c>
      <c r="E9">
        <v>39</v>
      </c>
      <c r="F9">
        <v>24.1</v>
      </c>
      <c r="G9">
        <v>70.599999999999994</v>
      </c>
      <c r="H9">
        <v>24.6</v>
      </c>
      <c r="I9">
        <v>1.3</v>
      </c>
      <c r="J9">
        <f t="shared" si="0"/>
        <v>30.5</v>
      </c>
      <c r="K9">
        <f t="shared" si="1"/>
        <v>45.599999999999994</v>
      </c>
      <c r="L9">
        <v>0</v>
      </c>
      <c r="M9">
        <v>4520</v>
      </c>
    </row>
    <row r="10" spans="1:13" x14ac:dyDescent="0.35">
      <c r="A10">
        <v>2025</v>
      </c>
      <c r="B10">
        <v>226</v>
      </c>
      <c r="C10">
        <v>37.365886000000003</v>
      </c>
      <c r="D10">
        <v>65</v>
      </c>
      <c r="E10">
        <v>39.1</v>
      </c>
      <c r="F10">
        <v>24.2</v>
      </c>
      <c r="G10">
        <v>70.5</v>
      </c>
      <c r="H10">
        <v>24.5</v>
      </c>
      <c r="I10">
        <v>2.1</v>
      </c>
      <c r="J10">
        <f t="shared" si="0"/>
        <v>30.6</v>
      </c>
      <c r="K10">
        <f t="shared" si="1"/>
        <v>45.5</v>
      </c>
      <c r="L10">
        <v>0</v>
      </c>
      <c r="M10">
        <v>4520</v>
      </c>
    </row>
    <row r="11" spans="1:13" x14ac:dyDescent="0.35">
      <c r="A11">
        <v>2025</v>
      </c>
      <c r="B11">
        <v>227</v>
      </c>
      <c r="C11">
        <v>37.365886000000003</v>
      </c>
      <c r="D11">
        <v>65</v>
      </c>
      <c r="E11">
        <v>39.200000000000003</v>
      </c>
      <c r="F11">
        <v>24.3</v>
      </c>
      <c r="G11">
        <v>70.400000000000006</v>
      </c>
      <c r="H11">
        <v>24.4</v>
      </c>
      <c r="I11">
        <v>1.1000000000000001</v>
      </c>
      <c r="J11">
        <f t="shared" si="0"/>
        <v>30.700000000000003</v>
      </c>
      <c r="K11">
        <f t="shared" si="1"/>
        <v>45.400000000000006</v>
      </c>
      <c r="L11">
        <v>0</v>
      </c>
      <c r="M11">
        <v>4520</v>
      </c>
    </row>
    <row r="12" spans="1:13" x14ac:dyDescent="0.35">
      <c r="A12">
        <v>2025</v>
      </c>
      <c r="B12">
        <v>228</v>
      </c>
      <c r="C12">
        <v>37.365886000000003</v>
      </c>
      <c r="D12">
        <v>65</v>
      </c>
      <c r="E12">
        <v>39.299999999999997</v>
      </c>
      <c r="F12">
        <v>24.4</v>
      </c>
      <c r="G12">
        <v>70.300000000000097</v>
      </c>
      <c r="H12">
        <v>24.3</v>
      </c>
      <c r="I12">
        <v>1.5</v>
      </c>
      <c r="J12">
        <f t="shared" si="0"/>
        <v>30.799999999999997</v>
      </c>
      <c r="K12">
        <f t="shared" si="1"/>
        <v>45.300000000000097</v>
      </c>
      <c r="L12">
        <v>0</v>
      </c>
      <c r="M12">
        <v>4520</v>
      </c>
    </row>
    <row r="13" spans="1:13" x14ac:dyDescent="0.35">
      <c r="A13">
        <v>2025</v>
      </c>
      <c r="B13">
        <v>229</v>
      </c>
      <c r="C13">
        <v>37.365886000000003</v>
      </c>
      <c r="D13">
        <v>65</v>
      </c>
      <c r="E13">
        <v>39.4</v>
      </c>
      <c r="F13">
        <v>24.5</v>
      </c>
      <c r="G13">
        <v>70.200000000000102</v>
      </c>
      <c r="H13">
        <v>24.2</v>
      </c>
      <c r="I13">
        <v>1.7</v>
      </c>
      <c r="J13">
        <f t="shared" si="0"/>
        <v>30.9</v>
      </c>
      <c r="K13">
        <f t="shared" si="1"/>
        <v>45.200000000000102</v>
      </c>
      <c r="L13">
        <v>0</v>
      </c>
      <c r="M13">
        <v>4520</v>
      </c>
    </row>
    <row r="14" spans="1:13" x14ac:dyDescent="0.35">
      <c r="A14">
        <v>2025</v>
      </c>
      <c r="B14">
        <v>230</v>
      </c>
      <c r="C14">
        <v>37.365886000000003</v>
      </c>
      <c r="D14">
        <v>65</v>
      </c>
      <c r="E14">
        <v>39.5</v>
      </c>
      <c r="F14">
        <v>24.6</v>
      </c>
      <c r="G14">
        <v>70.100000000000094</v>
      </c>
      <c r="H14">
        <v>24.1</v>
      </c>
      <c r="I14">
        <v>1.3</v>
      </c>
      <c r="J14">
        <f t="shared" si="0"/>
        <v>31</v>
      </c>
      <c r="K14">
        <f t="shared" si="1"/>
        <v>45.100000000000094</v>
      </c>
      <c r="L14">
        <v>0</v>
      </c>
      <c r="M14">
        <v>4520</v>
      </c>
    </row>
    <row r="15" spans="1:13" x14ac:dyDescent="0.35">
      <c r="A15">
        <v>2025</v>
      </c>
      <c r="B15">
        <v>231</v>
      </c>
      <c r="C15">
        <v>37.365886000000003</v>
      </c>
      <c r="D15">
        <v>65</v>
      </c>
      <c r="E15">
        <v>39.6</v>
      </c>
      <c r="F15">
        <v>24.7</v>
      </c>
      <c r="G15">
        <v>70.000000000000099</v>
      </c>
      <c r="H15">
        <v>24</v>
      </c>
      <c r="I15">
        <v>2.1</v>
      </c>
      <c r="J15">
        <f t="shared" si="0"/>
        <v>31.1</v>
      </c>
      <c r="K15">
        <f t="shared" si="1"/>
        <v>45.000000000000099</v>
      </c>
      <c r="L15">
        <v>0</v>
      </c>
      <c r="M15">
        <v>4520</v>
      </c>
    </row>
    <row r="16" spans="1:13" x14ac:dyDescent="0.35">
      <c r="A16">
        <v>2025</v>
      </c>
      <c r="B16">
        <v>232</v>
      </c>
      <c r="C16">
        <v>37.365886000000003</v>
      </c>
      <c r="D16">
        <v>65</v>
      </c>
      <c r="E16">
        <v>39.700000000000003</v>
      </c>
      <c r="F16">
        <v>24.8</v>
      </c>
      <c r="G16">
        <v>69.900000000000105</v>
      </c>
      <c r="H16">
        <v>23.9</v>
      </c>
      <c r="I16">
        <v>1.1000000000000001</v>
      </c>
      <c r="J16">
        <f t="shared" si="0"/>
        <v>31.200000000000003</v>
      </c>
      <c r="K16">
        <f t="shared" si="1"/>
        <v>44.900000000000105</v>
      </c>
      <c r="L16">
        <v>0</v>
      </c>
      <c r="M16">
        <v>4520</v>
      </c>
    </row>
    <row r="17" spans="1:13" x14ac:dyDescent="0.35">
      <c r="A17">
        <v>2025</v>
      </c>
      <c r="B17">
        <v>233</v>
      </c>
      <c r="C17">
        <v>37.365886000000003</v>
      </c>
      <c r="D17">
        <v>65</v>
      </c>
      <c r="E17">
        <v>39.799999999999997</v>
      </c>
      <c r="F17">
        <v>24.9</v>
      </c>
      <c r="G17">
        <v>69.800000000000097</v>
      </c>
      <c r="H17">
        <v>23.8</v>
      </c>
      <c r="I17">
        <v>1.5</v>
      </c>
      <c r="J17">
        <f t="shared" si="0"/>
        <v>31.299999999999997</v>
      </c>
      <c r="K17">
        <f t="shared" si="1"/>
        <v>44.800000000000097</v>
      </c>
      <c r="L17">
        <v>0</v>
      </c>
      <c r="M17">
        <v>4520</v>
      </c>
    </row>
    <row r="18" spans="1:13" x14ac:dyDescent="0.35">
      <c r="A18">
        <v>2025</v>
      </c>
      <c r="B18">
        <v>234</v>
      </c>
      <c r="C18">
        <v>37.365886000000003</v>
      </c>
      <c r="D18">
        <v>65</v>
      </c>
      <c r="E18">
        <v>39.9</v>
      </c>
      <c r="F18">
        <v>25</v>
      </c>
      <c r="G18">
        <v>69.700000000000102</v>
      </c>
      <c r="H18">
        <v>23.7</v>
      </c>
      <c r="I18">
        <v>1.7</v>
      </c>
      <c r="J18">
        <f t="shared" si="0"/>
        <v>31.4</v>
      </c>
      <c r="K18">
        <f t="shared" si="1"/>
        <v>44.700000000000102</v>
      </c>
      <c r="L18">
        <v>0</v>
      </c>
      <c r="M18">
        <v>4520</v>
      </c>
    </row>
    <row r="19" spans="1:13" x14ac:dyDescent="0.35">
      <c r="A19">
        <v>2025</v>
      </c>
      <c r="B19">
        <v>235</v>
      </c>
      <c r="C19">
        <v>37.365886000000003</v>
      </c>
      <c r="D19">
        <v>65</v>
      </c>
      <c r="E19">
        <v>40</v>
      </c>
      <c r="F19">
        <v>25.1</v>
      </c>
      <c r="G19">
        <v>69.600000000000094</v>
      </c>
      <c r="H19">
        <v>23.6</v>
      </c>
      <c r="I19">
        <v>1.3</v>
      </c>
      <c r="J19">
        <f t="shared" si="0"/>
        <v>31.5</v>
      </c>
      <c r="K19">
        <f t="shared" si="1"/>
        <v>44.600000000000094</v>
      </c>
      <c r="L19">
        <v>0</v>
      </c>
      <c r="M19">
        <v>4520</v>
      </c>
    </row>
    <row r="20" spans="1:13" x14ac:dyDescent="0.35">
      <c r="A20">
        <v>2025</v>
      </c>
      <c r="B20">
        <v>236</v>
      </c>
      <c r="C20">
        <v>37.365886000000003</v>
      </c>
      <c r="D20">
        <v>65</v>
      </c>
      <c r="E20">
        <v>40.1</v>
      </c>
      <c r="F20">
        <v>25.2</v>
      </c>
      <c r="G20">
        <v>69.500000000000099</v>
      </c>
      <c r="H20">
        <v>23.5</v>
      </c>
      <c r="I20">
        <v>2.1</v>
      </c>
      <c r="J20">
        <f t="shared" si="0"/>
        <v>31.6</v>
      </c>
      <c r="K20">
        <f t="shared" si="1"/>
        <v>44.500000000000099</v>
      </c>
      <c r="L20">
        <v>0</v>
      </c>
      <c r="M20">
        <v>4520</v>
      </c>
    </row>
    <row r="21" spans="1:13" x14ac:dyDescent="0.35">
      <c r="A21">
        <v>2025</v>
      </c>
      <c r="B21">
        <v>237</v>
      </c>
      <c r="C21">
        <v>37.365886000000003</v>
      </c>
      <c r="D21">
        <v>65</v>
      </c>
      <c r="E21">
        <v>40.200000000000003</v>
      </c>
      <c r="F21">
        <v>25.3</v>
      </c>
      <c r="G21">
        <v>69.400000000000105</v>
      </c>
      <c r="H21">
        <v>23.4</v>
      </c>
      <c r="I21">
        <v>1.1000000000000001</v>
      </c>
      <c r="J21">
        <f t="shared" si="0"/>
        <v>31.700000000000003</v>
      </c>
      <c r="K21">
        <f t="shared" si="1"/>
        <v>44.400000000000105</v>
      </c>
      <c r="L21">
        <v>0</v>
      </c>
      <c r="M21">
        <v>4520</v>
      </c>
    </row>
    <row r="22" spans="1:13" x14ac:dyDescent="0.35">
      <c r="A22">
        <v>2025</v>
      </c>
      <c r="B22">
        <v>238</v>
      </c>
      <c r="C22">
        <v>37.365886000000003</v>
      </c>
      <c r="D22">
        <v>65</v>
      </c>
      <c r="E22">
        <v>40.299999999999997</v>
      </c>
      <c r="F22">
        <v>25.4</v>
      </c>
      <c r="G22">
        <v>69.300000000000097</v>
      </c>
      <c r="H22">
        <v>23.3</v>
      </c>
      <c r="I22">
        <v>1.7</v>
      </c>
      <c r="J22">
        <f t="shared" si="0"/>
        <v>31.799999999999997</v>
      </c>
      <c r="K22">
        <f t="shared" si="1"/>
        <v>44.300000000000097</v>
      </c>
      <c r="L22">
        <v>0</v>
      </c>
      <c r="M22">
        <v>4520</v>
      </c>
    </row>
    <row r="23" spans="1:13" x14ac:dyDescent="0.35">
      <c r="A23">
        <v>2025</v>
      </c>
      <c r="B23">
        <v>239</v>
      </c>
      <c r="C23">
        <v>37.365886000000003</v>
      </c>
      <c r="D23">
        <v>65</v>
      </c>
      <c r="E23">
        <v>40.4</v>
      </c>
      <c r="F23">
        <v>25.5</v>
      </c>
      <c r="G23">
        <v>69.200000000000102</v>
      </c>
      <c r="H23">
        <v>23.2</v>
      </c>
      <c r="I23">
        <v>1.3</v>
      </c>
      <c r="J23">
        <f t="shared" si="0"/>
        <v>31.9</v>
      </c>
      <c r="K23">
        <f t="shared" si="1"/>
        <v>44.200000000000102</v>
      </c>
      <c r="L23">
        <v>0</v>
      </c>
      <c r="M23">
        <v>4520</v>
      </c>
    </row>
    <row r="24" spans="1:13" x14ac:dyDescent="0.35">
      <c r="A24">
        <v>2025</v>
      </c>
      <c r="B24">
        <v>240</v>
      </c>
      <c r="C24">
        <v>37.365886000000003</v>
      </c>
      <c r="D24">
        <v>65</v>
      </c>
      <c r="E24">
        <v>40.5</v>
      </c>
      <c r="F24">
        <v>25.6</v>
      </c>
      <c r="G24">
        <v>69.100000000000094</v>
      </c>
      <c r="H24">
        <v>23.1</v>
      </c>
      <c r="I24">
        <v>2.1</v>
      </c>
      <c r="J24">
        <f t="shared" si="0"/>
        <v>32</v>
      </c>
      <c r="K24">
        <f t="shared" si="1"/>
        <v>44.100000000000094</v>
      </c>
      <c r="L24">
        <v>0</v>
      </c>
      <c r="M24">
        <v>4520</v>
      </c>
    </row>
    <row r="25" spans="1:13" x14ac:dyDescent="0.35">
      <c r="A25">
        <v>2025</v>
      </c>
      <c r="B25">
        <v>241</v>
      </c>
      <c r="C25">
        <v>37.365886000000003</v>
      </c>
      <c r="D25">
        <v>65</v>
      </c>
      <c r="E25">
        <v>40.6</v>
      </c>
      <c r="F25">
        <v>25.7</v>
      </c>
      <c r="G25">
        <v>69.000000000000099</v>
      </c>
      <c r="H25">
        <v>23</v>
      </c>
      <c r="I25">
        <v>1.1000000000000001</v>
      </c>
      <c r="J25">
        <f t="shared" si="0"/>
        <v>32.1</v>
      </c>
      <c r="K25">
        <f t="shared" si="1"/>
        <v>44.000000000000099</v>
      </c>
      <c r="L25">
        <v>0</v>
      </c>
      <c r="M25">
        <v>4520</v>
      </c>
    </row>
    <row r="26" spans="1:13" x14ac:dyDescent="0.35">
      <c r="A26">
        <v>2025</v>
      </c>
      <c r="B26">
        <v>242</v>
      </c>
      <c r="C26">
        <v>37.365886000000003</v>
      </c>
      <c r="D26">
        <v>65</v>
      </c>
      <c r="E26">
        <v>40.700000000000003</v>
      </c>
      <c r="F26">
        <v>25.8</v>
      </c>
      <c r="G26">
        <v>68.900000000000105</v>
      </c>
      <c r="H26">
        <v>22.9</v>
      </c>
      <c r="I26">
        <v>1.5</v>
      </c>
      <c r="J26">
        <f t="shared" si="0"/>
        <v>32.200000000000003</v>
      </c>
      <c r="K26">
        <f t="shared" si="1"/>
        <v>43.900000000000105</v>
      </c>
      <c r="L26">
        <v>0</v>
      </c>
      <c r="M26">
        <v>4520</v>
      </c>
    </row>
    <row r="27" spans="1:13" x14ac:dyDescent="0.35">
      <c r="A27">
        <v>2025</v>
      </c>
      <c r="B27">
        <v>243</v>
      </c>
      <c r="C27">
        <v>37.365886000000003</v>
      </c>
      <c r="D27">
        <v>65</v>
      </c>
      <c r="E27">
        <v>40.799999999999997</v>
      </c>
      <c r="F27">
        <v>25.9</v>
      </c>
      <c r="G27">
        <v>68.800000000000097</v>
      </c>
      <c r="H27">
        <v>22.8</v>
      </c>
      <c r="I27">
        <v>1.7</v>
      </c>
      <c r="J27">
        <f t="shared" si="0"/>
        <v>32.299999999999997</v>
      </c>
      <c r="K27">
        <f t="shared" si="1"/>
        <v>43.800000000000097</v>
      </c>
      <c r="L27">
        <v>0</v>
      </c>
      <c r="M27">
        <v>4520</v>
      </c>
    </row>
    <row r="28" spans="1:13" x14ac:dyDescent="0.35">
      <c r="A28">
        <v>2025</v>
      </c>
      <c r="B28">
        <v>244</v>
      </c>
      <c r="C28">
        <v>37.365886000000003</v>
      </c>
      <c r="D28">
        <v>65</v>
      </c>
      <c r="E28">
        <v>40.9</v>
      </c>
      <c r="F28">
        <v>26</v>
      </c>
      <c r="G28">
        <v>68.700000000000102</v>
      </c>
      <c r="H28">
        <v>22.7</v>
      </c>
      <c r="I28">
        <v>1.3</v>
      </c>
      <c r="J28">
        <f t="shared" si="0"/>
        <v>32.4</v>
      </c>
      <c r="K28">
        <f t="shared" si="1"/>
        <v>43.700000000000102</v>
      </c>
      <c r="L28">
        <v>0</v>
      </c>
      <c r="M28">
        <v>4520</v>
      </c>
    </row>
    <row r="29" spans="1:13" x14ac:dyDescent="0.35">
      <c r="A29">
        <v>2025</v>
      </c>
      <c r="B29">
        <v>245</v>
      </c>
      <c r="C29">
        <v>37.365886000000003</v>
      </c>
      <c r="D29">
        <v>65</v>
      </c>
      <c r="E29">
        <v>41</v>
      </c>
      <c r="F29">
        <v>26.1</v>
      </c>
      <c r="G29">
        <v>68.600000000000193</v>
      </c>
      <c r="H29">
        <v>22.6</v>
      </c>
      <c r="I29">
        <v>2.1</v>
      </c>
      <c r="J29">
        <f t="shared" si="0"/>
        <v>32.5</v>
      </c>
      <c r="K29">
        <f t="shared" si="1"/>
        <v>43.600000000000193</v>
      </c>
      <c r="L29">
        <v>0</v>
      </c>
      <c r="M29">
        <v>4520</v>
      </c>
    </row>
    <row r="30" spans="1:13" x14ac:dyDescent="0.35">
      <c r="A30">
        <v>2025</v>
      </c>
      <c r="B30">
        <v>246</v>
      </c>
      <c r="C30">
        <v>37.365886000000003</v>
      </c>
      <c r="D30">
        <v>65</v>
      </c>
      <c r="E30">
        <v>41.1</v>
      </c>
      <c r="F30">
        <v>26.2</v>
      </c>
      <c r="G30">
        <v>68.500000000000199</v>
      </c>
      <c r="H30">
        <v>22.5</v>
      </c>
      <c r="I30">
        <v>1.1000000000000001</v>
      </c>
      <c r="J30">
        <f t="shared" si="0"/>
        <v>32.6</v>
      </c>
      <c r="K30">
        <f t="shared" si="1"/>
        <v>43.500000000000199</v>
      </c>
      <c r="L30">
        <v>0</v>
      </c>
      <c r="M30">
        <v>4520</v>
      </c>
    </row>
    <row r="31" spans="1:13" x14ac:dyDescent="0.35">
      <c r="A31">
        <v>2025</v>
      </c>
      <c r="B31">
        <v>247</v>
      </c>
      <c r="C31">
        <v>37.365886000000003</v>
      </c>
      <c r="D31">
        <v>65</v>
      </c>
      <c r="E31">
        <v>41.2</v>
      </c>
      <c r="F31">
        <v>26.3</v>
      </c>
      <c r="G31">
        <v>68.400000000000205</v>
      </c>
      <c r="H31">
        <v>22.4</v>
      </c>
      <c r="I31">
        <v>1.5</v>
      </c>
      <c r="J31">
        <f t="shared" si="0"/>
        <v>32.700000000000003</v>
      </c>
      <c r="K31">
        <f t="shared" si="1"/>
        <v>43.400000000000205</v>
      </c>
      <c r="L31">
        <v>0</v>
      </c>
      <c r="M31">
        <v>4520</v>
      </c>
    </row>
    <row r="32" spans="1:13" x14ac:dyDescent="0.35">
      <c r="A32">
        <v>2025</v>
      </c>
      <c r="B32">
        <v>248</v>
      </c>
      <c r="C32">
        <v>37.365886000000003</v>
      </c>
      <c r="D32">
        <v>65</v>
      </c>
      <c r="E32">
        <v>41.3</v>
      </c>
      <c r="F32">
        <v>26.4</v>
      </c>
      <c r="G32">
        <v>68.300000000000196</v>
      </c>
      <c r="H32">
        <v>22.3</v>
      </c>
      <c r="I32">
        <v>1.7</v>
      </c>
      <c r="J32">
        <f t="shared" si="0"/>
        <v>32.799999999999997</v>
      </c>
      <c r="K32">
        <f t="shared" si="1"/>
        <v>43.300000000000196</v>
      </c>
      <c r="L32">
        <v>0</v>
      </c>
      <c r="M32">
        <v>4520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2FB3B-5FB9-49BF-AF4D-75474B9B8C5A}">
  <dimension ref="A1:AH25"/>
  <sheetViews>
    <sheetView tabSelected="1" topLeftCell="K1" workbookViewId="0">
      <selection activeCell="O1" sqref="O1"/>
    </sheetView>
  </sheetViews>
  <sheetFormatPr defaultRowHeight="14.5" x14ac:dyDescent="0.35"/>
  <sheetData>
    <row r="1" spans="1:34" s="1" customFormat="1" ht="39" x14ac:dyDescent="0.35">
      <c r="A1" s="15" t="s">
        <v>5</v>
      </c>
      <c r="B1" s="16" t="s">
        <v>16</v>
      </c>
      <c r="C1" s="16" t="s">
        <v>17</v>
      </c>
      <c r="D1" s="16" t="s">
        <v>18</v>
      </c>
      <c r="E1" s="16" t="s">
        <v>19</v>
      </c>
      <c r="F1" s="16" t="s">
        <v>3</v>
      </c>
      <c r="G1" s="17" t="s">
        <v>20</v>
      </c>
      <c r="H1" s="18" t="s">
        <v>21</v>
      </c>
      <c r="I1" s="9" t="s">
        <v>9</v>
      </c>
      <c r="J1" s="10" t="s">
        <v>22</v>
      </c>
      <c r="K1" s="11" t="s">
        <v>23</v>
      </c>
      <c r="L1" s="11" t="s">
        <v>10</v>
      </c>
      <c r="M1" s="11" t="s">
        <v>24</v>
      </c>
      <c r="N1" s="11" t="s">
        <v>40</v>
      </c>
      <c r="O1" s="11" t="s">
        <v>41</v>
      </c>
      <c r="P1" s="12" t="s">
        <v>25</v>
      </c>
      <c r="Q1" s="11" t="s">
        <v>26</v>
      </c>
      <c r="R1" s="11" t="s">
        <v>27</v>
      </c>
      <c r="S1" s="11" t="s">
        <v>28</v>
      </c>
      <c r="T1" s="11" t="s">
        <v>29</v>
      </c>
      <c r="U1" s="11" t="s">
        <v>30</v>
      </c>
      <c r="V1" s="11" t="s">
        <v>31</v>
      </c>
      <c r="W1" s="11" t="s">
        <v>32</v>
      </c>
      <c r="X1" s="11" t="s">
        <v>33</v>
      </c>
      <c r="Y1" s="11" t="s">
        <v>34</v>
      </c>
      <c r="Z1" s="11" t="s">
        <v>13</v>
      </c>
      <c r="AA1" s="11" t="s">
        <v>12</v>
      </c>
      <c r="AB1" s="11" t="s">
        <v>14</v>
      </c>
      <c r="AC1" s="11" t="s">
        <v>15</v>
      </c>
      <c r="AD1" s="11" t="s">
        <v>35</v>
      </c>
      <c r="AE1" s="13" t="s">
        <v>36</v>
      </c>
      <c r="AF1" s="14" t="s">
        <v>37</v>
      </c>
      <c r="AG1" s="14" t="s">
        <v>38</v>
      </c>
      <c r="AH1" s="14" t="s">
        <v>39</v>
      </c>
    </row>
    <row r="2" spans="1:34" s="1" customFormat="1" x14ac:dyDescent="0.35">
      <c r="A2" s="2">
        <v>2020</v>
      </c>
      <c r="B2" s="3">
        <v>8</v>
      </c>
      <c r="C2" s="3">
        <v>15</v>
      </c>
      <c r="D2" s="3">
        <v>0</v>
      </c>
      <c r="E2" s="3">
        <v>30</v>
      </c>
      <c r="F2" s="3">
        <v>228</v>
      </c>
      <c r="G2" s="3">
        <v>0.5</v>
      </c>
      <c r="H2" s="4">
        <v>228.02082999999999</v>
      </c>
      <c r="I2" s="5">
        <v>0.28000000000000003</v>
      </c>
      <c r="J2" s="6">
        <v>120.6</v>
      </c>
      <c r="K2" s="7">
        <v>24.34</v>
      </c>
      <c r="L2" s="7">
        <v>22.14</v>
      </c>
      <c r="M2" s="7">
        <v>16.68</v>
      </c>
      <c r="N2" s="7">
        <v>2.27</v>
      </c>
      <c r="O2" s="7">
        <v>2.67</v>
      </c>
      <c r="P2" s="7">
        <v>0.39</v>
      </c>
      <c r="Q2" s="7">
        <v>100.22</v>
      </c>
      <c r="R2" s="7">
        <v>1041.4100000000001</v>
      </c>
      <c r="S2" s="8">
        <v>1.1555</v>
      </c>
      <c r="T2" s="7">
        <v>1016.91</v>
      </c>
      <c r="U2" s="8">
        <v>2.4483999999999999</v>
      </c>
      <c r="V2" s="7">
        <v>0</v>
      </c>
      <c r="W2" s="7">
        <v>0</v>
      </c>
      <c r="X2" s="7">
        <v>385.83</v>
      </c>
      <c r="Y2" s="7">
        <v>419.72</v>
      </c>
      <c r="Z2" s="7">
        <v>-33.89</v>
      </c>
      <c r="AA2" s="7">
        <v>-30.78</v>
      </c>
      <c r="AB2" s="7">
        <v>1.26</v>
      </c>
      <c r="AC2" s="7">
        <v>1.1299999999999999</v>
      </c>
      <c r="AD2" s="8">
        <v>3.4200000000000001E-2</v>
      </c>
      <c r="AE2" s="8">
        <v>5.3600000000000002E-2</v>
      </c>
      <c r="AF2" s="7">
        <v>21.66</v>
      </c>
      <c r="AG2" s="7">
        <v>27.45</v>
      </c>
      <c r="AH2" s="7">
        <v>0.08</v>
      </c>
    </row>
    <row r="3" spans="1:34" s="1" customFormat="1" x14ac:dyDescent="0.35">
      <c r="A3" s="2">
        <v>2020</v>
      </c>
      <c r="B3" s="3">
        <v>8</v>
      </c>
      <c r="C3" s="3">
        <v>15</v>
      </c>
      <c r="D3" s="3">
        <v>1</v>
      </c>
      <c r="E3" s="3">
        <v>30</v>
      </c>
      <c r="F3" s="3">
        <v>228</v>
      </c>
      <c r="G3" s="3">
        <v>1.5</v>
      </c>
      <c r="H3" s="4">
        <v>228.0625</v>
      </c>
      <c r="I3" s="5">
        <v>0.43</v>
      </c>
      <c r="J3" s="6">
        <v>29.5</v>
      </c>
      <c r="K3" s="7">
        <v>24.14</v>
      </c>
      <c r="L3" s="7">
        <v>21.99</v>
      </c>
      <c r="M3" s="7">
        <v>16.100000000000001</v>
      </c>
      <c r="N3" s="7">
        <v>2.19</v>
      </c>
      <c r="O3" s="7">
        <v>2.64</v>
      </c>
      <c r="P3" s="7">
        <v>0.45</v>
      </c>
      <c r="Q3" s="7">
        <v>100.2</v>
      </c>
      <c r="R3" s="7">
        <v>1057.17</v>
      </c>
      <c r="S3" s="8">
        <v>1.1567000000000001</v>
      </c>
      <c r="T3" s="7">
        <v>1016.49</v>
      </c>
      <c r="U3" s="8">
        <v>2.4487000000000001</v>
      </c>
      <c r="V3" s="7">
        <v>0</v>
      </c>
      <c r="W3" s="7">
        <v>0</v>
      </c>
      <c r="X3" s="7">
        <v>384.96</v>
      </c>
      <c r="Y3" s="7">
        <v>416.69</v>
      </c>
      <c r="Z3" s="7">
        <v>-31.73</v>
      </c>
      <c r="AA3" s="7">
        <v>-30.93</v>
      </c>
      <c r="AB3" s="7">
        <v>1.02</v>
      </c>
      <c r="AC3" s="7">
        <v>1.19</v>
      </c>
      <c r="AD3" s="8">
        <v>1.2699999999999999E-2</v>
      </c>
      <c r="AE3" s="8">
        <v>4.1500000000000002E-2</v>
      </c>
      <c r="AF3" s="7">
        <v>21.12</v>
      </c>
      <c r="AG3" s="7">
        <v>26.91</v>
      </c>
      <c r="AH3" s="7">
        <v>0.08</v>
      </c>
    </row>
    <row r="4" spans="1:34" s="1" customFormat="1" x14ac:dyDescent="0.35">
      <c r="A4" s="2">
        <v>2020</v>
      </c>
      <c r="B4" s="3">
        <v>8</v>
      </c>
      <c r="C4" s="3">
        <v>15</v>
      </c>
      <c r="D4" s="3">
        <v>2</v>
      </c>
      <c r="E4" s="3">
        <v>30</v>
      </c>
      <c r="F4" s="3">
        <v>228</v>
      </c>
      <c r="G4" s="3">
        <v>2.5</v>
      </c>
      <c r="H4" s="4">
        <v>228.10417000000001</v>
      </c>
      <c r="I4" s="5">
        <v>0.46</v>
      </c>
      <c r="J4" s="6">
        <v>346.4</v>
      </c>
      <c r="K4" s="7">
        <v>24.04</v>
      </c>
      <c r="L4" s="7">
        <v>21.94</v>
      </c>
      <c r="M4" s="7">
        <v>15.53</v>
      </c>
      <c r="N4" s="7">
        <v>2.11</v>
      </c>
      <c r="O4" s="7">
        <v>2.63</v>
      </c>
      <c r="P4" s="7">
        <v>0.52</v>
      </c>
      <c r="Q4" s="7">
        <v>100.18</v>
      </c>
      <c r="R4" s="7">
        <v>1056.8399999999999</v>
      </c>
      <c r="S4" s="8">
        <v>1.1577999999999999</v>
      </c>
      <c r="T4" s="7">
        <v>1016.08</v>
      </c>
      <c r="U4" s="8">
        <v>2.4489000000000001</v>
      </c>
      <c r="V4" s="7">
        <v>0</v>
      </c>
      <c r="W4" s="7">
        <v>0</v>
      </c>
      <c r="X4" s="7">
        <v>383.51</v>
      </c>
      <c r="Y4" s="7">
        <v>414.14</v>
      </c>
      <c r="Z4" s="7">
        <v>-30.63</v>
      </c>
      <c r="AA4" s="7">
        <v>-30.43</v>
      </c>
      <c r="AB4" s="7">
        <v>-1.95</v>
      </c>
      <c r="AC4" s="7">
        <v>3.5</v>
      </c>
      <c r="AD4" s="8">
        <v>0.12909999999999999</v>
      </c>
      <c r="AE4" s="8">
        <v>6.4899999999999999E-2</v>
      </c>
      <c r="AF4" s="7">
        <v>20.67</v>
      </c>
      <c r="AG4" s="7">
        <v>26.39</v>
      </c>
      <c r="AH4" s="7">
        <v>0.08</v>
      </c>
    </row>
    <row r="5" spans="1:34" s="1" customFormat="1" x14ac:dyDescent="0.35">
      <c r="A5" s="2">
        <v>2020</v>
      </c>
      <c r="B5" s="3">
        <v>8</v>
      </c>
      <c r="C5" s="3">
        <v>15</v>
      </c>
      <c r="D5" s="3">
        <v>3</v>
      </c>
      <c r="E5" s="3">
        <v>30</v>
      </c>
      <c r="F5" s="3">
        <v>228</v>
      </c>
      <c r="G5" s="3">
        <v>3.5</v>
      </c>
      <c r="H5" s="4">
        <v>228.14582999999999</v>
      </c>
      <c r="I5" s="5">
        <v>0.54</v>
      </c>
      <c r="J5" s="6">
        <v>201</v>
      </c>
      <c r="K5" s="7">
        <v>22.9</v>
      </c>
      <c r="L5" s="7">
        <v>20.88</v>
      </c>
      <c r="M5" s="7">
        <v>15.58</v>
      </c>
      <c r="N5" s="7">
        <v>2.11</v>
      </c>
      <c r="O5" s="7">
        <v>2.4700000000000002</v>
      </c>
      <c r="P5" s="7">
        <v>0.35</v>
      </c>
      <c r="Q5" s="7">
        <v>100.21</v>
      </c>
      <c r="R5" s="7">
        <v>1198.76</v>
      </c>
      <c r="S5" s="8">
        <v>1.1621999999999999</v>
      </c>
      <c r="T5" s="7">
        <v>1016.08</v>
      </c>
      <c r="U5" s="8">
        <v>2.4514</v>
      </c>
      <c r="V5" s="7">
        <v>0</v>
      </c>
      <c r="W5" s="7">
        <v>0</v>
      </c>
      <c r="X5" s="7">
        <v>381.03</v>
      </c>
      <c r="Y5" s="7">
        <v>412.34</v>
      </c>
      <c r="Z5" s="7">
        <v>-31.3</v>
      </c>
      <c r="AA5" s="7">
        <v>-29.55</v>
      </c>
      <c r="AB5" s="7">
        <v>-3.11</v>
      </c>
      <c r="AC5" s="7">
        <v>1.98</v>
      </c>
      <c r="AD5" s="8">
        <v>0.15229999999999999</v>
      </c>
      <c r="AE5" s="8">
        <v>4.7800000000000002E-2</v>
      </c>
      <c r="AF5" s="7">
        <v>20.350000000000001</v>
      </c>
      <c r="AG5" s="7">
        <v>25.96</v>
      </c>
      <c r="AH5" s="7">
        <v>7.9000000000000001E-2</v>
      </c>
    </row>
    <row r="6" spans="1:34" s="1" customFormat="1" x14ac:dyDescent="0.35">
      <c r="A6" s="2">
        <v>2020</v>
      </c>
      <c r="B6" s="3">
        <v>8</v>
      </c>
      <c r="C6" s="3">
        <v>15</v>
      </c>
      <c r="D6" s="3">
        <v>4</v>
      </c>
      <c r="E6" s="3">
        <v>30</v>
      </c>
      <c r="F6" s="3">
        <v>228</v>
      </c>
      <c r="G6" s="3">
        <v>4.5</v>
      </c>
      <c r="H6" s="4">
        <v>228.1875</v>
      </c>
      <c r="I6" s="5">
        <v>0.34</v>
      </c>
      <c r="J6" s="6">
        <v>118.3</v>
      </c>
      <c r="K6" s="7">
        <v>22.45</v>
      </c>
      <c r="L6" s="7">
        <v>20.39</v>
      </c>
      <c r="M6" s="7">
        <v>15.32</v>
      </c>
      <c r="N6" s="7">
        <v>2.08</v>
      </c>
      <c r="O6" s="7">
        <v>2.4</v>
      </c>
      <c r="P6" s="7">
        <v>0.32</v>
      </c>
      <c r="Q6" s="7">
        <v>100.25</v>
      </c>
      <c r="R6" s="7">
        <v>1192.07</v>
      </c>
      <c r="S6" s="8">
        <v>1.1651</v>
      </c>
      <c r="T6" s="7">
        <v>1015.87</v>
      </c>
      <c r="U6" s="8">
        <v>2.4525000000000001</v>
      </c>
      <c r="V6" s="7">
        <v>0</v>
      </c>
      <c r="W6" s="7">
        <v>0</v>
      </c>
      <c r="X6" s="7">
        <v>378.62</v>
      </c>
      <c r="Y6" s="7">
        <v>410.07</v>
      </c>
      <c r="Z6" s="7">
        <v>-31.45</v>
      </c>
      <c r="AA6" s="7">
        <v>-28.28</v>
      </c>
      <c r="AB6" s="7">
        <v>-2.69</v>
      </c>
      <c r="AC6" s="7">
        <v>-1.1599999999999999</v>
      </c>
      <c r="AD6" s="8">
        <v>0.19969999999999999</v>
      </c>
      <c r="AE6" s="8">
        <v>0.1</v>
      </c>
      <c r="AF6" s="7">
        <v>19.95</v>
      </c>
      <c r="AG6" s="7">
        <v>25.58</v>
      </c>
      <c r="AH6" s="7">
        <v>7.9000000000000001E-2</v>
      </c>
    </row>
    <row r="7" spans="1:34" s="1" customFormat="1" x14ac:dyDescent="0.35">
      <c r="A7" s="2">
        <v>2020</v>
      </c>
      <c r="B7" s="3">
        <v>8</v>
      </c>
      <c r="C7" s="3">
        <v>15</v>
      </c>
      <c r="D7" s="3">
        <v>5</v>
      </c>
      <c r="E7" s="3">
        <v>30</v>
      </c>
      <c r="F7" s="3">
        <v>228</v>
      </c>
      <c r="G7" s="3">
        <v>5.5</v>
      </c>
      <c r="H7" s="4">
        <v>228.22917000000001</v>
      </c>
      <c r="I7" s="5">
        <v>0.43</v>
      </c>
      <c r="J7" s="6">
        <v>5.4</v>
      </c>
      <c r="K7" s="7">
        <v>22.7</v>
      </c>
      <c r="L7" s="7">
        <v>20.71</v>
      </c>
      <c r="M7" s="7">
        <v>14.85</v>
      </c>
      <c r="N7" s="7">
        <v>2.0099999999999998</v>
      </c>
      <c r="O7" s="7">
        <v>2.44</v>
      </c>
      <c r="P7" s="7">
        <v>0.43</v>
      </c>
      <c r="Q7" s="7">
        <v>100.28</v>
      </c>
      <c r="R7" s="7">
        <v>1156.99</v>
      </c>
      <c r="S7" s="8">
        <v>1.1649</v>
      </c>
      <c r="T7" s="7">
        <v>1015.55</v>
      </c>
      <c r="U7" s="8">
        <v>2.4518</v>
      </c>
      <c r="V7" s="7">
        <v>19.739999999999998</v>
      </c>
      <c r="W7" s="7">
        <v>6.06</v>
      </c>
      <c r="X7" s="7">
        <v>379.38</v>
      </c>
      <c r="Y7" s="7">
        <v>410.78</v>
      </c>
      <c r="Z7" s="7">
        <v>-17.73</v>
      </c>
      <c r="AA7" s="7">
        <v>-25.12</v>
      </c>
      <c r="AB7" s="7">
        <v>-1.06</v>
      </c>
      <c r="AC7" s="7">
        <v>1.25</v>
      </c>
      <c r="AD7" s="8">
        <v>-2.35E-2</v>
      </c>
      <c r="AE7" s="8">
        <v>2.18E-2</v>
      </c>
      <c r="AF7" s="7">
        <v>20.07</v>
      </c>
      <c r="AG7" s="7">
        <v>25.2</v>
      </c>
      <c r="AH7" s="7">
        <v>7.9000000000000001E-2</v>
      </c>
    </row>
    <row r="8" spans="1:34" s="1" customFormat="1" x14ac:dyDescent="0.35">
      <c r="A8" s="2">
        <v>2020</v>
      </c>
      <c r="B8" s="3">
        <v>8</v>
      </c>
      <c r="C8" s="3">
        <v>15</v>
      </c>
      <c r="D8" s="3">
        <v>6</v>
      </c>
      <c r="E8" s="3">
        <v>30</v>
      </c>
      <c r="F8" s="3">
        <v>228</v>
      </c>
      <c r="G8" s="3">
        <v>6.5</v>
      </c>
      <c r="H8" s="4">
        <v>228.27082999999999</v>
      </c>
      <c r="I8" s="5">
        <v>0.53</v>
      </c>
      <c r="J8" s="6">
        <v>350.7</v>
      </c>
      <c r="K8" s="7">
        <v>25.69</v>
      </c>
      <c r="L8" s="7">
        <v>23.47</v>
      </c>
      <c r="M8" s="7">
        <v>14.78</v>
      </c>
      <c r="N8" s="7">
        <v>2.02</v>
      </c>
      <c r="O8" s="7">
        <v>2.89</v>
      </c>
      <c r="P8" s="7">
        <v>0.87</v>
      </c>
      <c r="Q8" s="7">
        <v>100.32</v>
      </c>
      <c r="R8" s="7">
        <v>987.2</v>
      </c>
      <c r="S8" s="8">
        <v>1.1544000000000001</v>
      </c>
      <c r="T8" s="7">
        <v>1015.59</v>
      </c>
      <c r="U8" s="8">
        <v>2.4453</v>
      </c>
      <c r="V8" s="7">
        <v>145.13</v>
      </c>
      <c r="W8" s="7">
        <v>35.4</v>
      </c>
      <c r="X8" s="7">
        <v>383.81</v>
      </c>
      <c r="Y8" s="7">
        <v>434.28</v>
      </c>
      <c r="Z8" s="7">
        <v>59.25</v>
      </c>
      <c r="AA8" s="7">
        <v>44.42</v>
      </c>
      <c r="AB8" s="7">
        <v>-3.13</v>
      </c>
      <c r="AC8" s="7">
        <v>20.86</v>
      </c>
      <c r="AD8" s="8">
        <v>1.24E-2</v>
      </c>
      <c r="AE8" s="8">
        <v>3.8199999999999998E-2</v>
      </c>
      <c r="AF8" s="7">
        <v>24.18</v>
      </c>
      <c r="AG8" s="7">
        <v>25</v>
      </c>
      <c r="AH8" s="7">
        <v>9.7000000000000003E-2</v>
      </c>
    </row>
    <row r="9" spans="1:34" s="1" customFormat="1" x14ac:dyDescent="0.35">
      <c r="A9" s="2">
        <v>2020</v>
      </c>
      <c r="B9" s="3">
        <v>8</v>
      </c>
      <c r="C9" s="3">
        <v>15</v>
      </c>
      <c r="D9" s="3">
        <v>7</v>
      </c>
      <c r="E9" s="3">
        <v>30</v>
      </c>
      <c r="F9" s="3">
        <v>228</v>
      </c>
      <c r="G9" s="3">
        <v>7.5</v>
      </c>
      <c r="H9" s="4">
        <v>228.3125</v>
      </c>
      <c r="I9" s="5">
        <v>0.91</v>
      </c>
      <c r="J9" s="6">
        <v>331.1</v>
      </c>
      <c r="K9" s="7">
        <v>29.63</v>
      </c>
      <c r="L9" s="7">
        <v>27.52</v>
      </c>
      <c r="M9" s="7">
        <v>14.08</v>
      </c>
      <c r="N9" s="7">
        <v>1.95</v>
      </c>
      <c r="O9" s="7">
        <v>3.68</v>
      </c>
      <c r="P9" s="7">
        <v>1.72</v>
      </c>
      <c r="Q9" s="7">
        <v>100.36</v>
      </c>
      <c r="R9" s="7">
        <v>803.18</v>
      </c>
      <c r="S9" s="8">
        <v>1.1400999999999999</v>
      </c>
      <c r="T9" s="7">
        <v>1015.23</v>
      </c>
      <c r="U9" s="8">
        <v>2.4357000000000002</v>
      </c>
      <c r="V9" s="7">
        <v>347.9</v>
      </c>
      <c r="W9" s="7">
        <v>75.64</v>
      </c>
      <c r="X9" s="7">
        <v>397.3</v>
      </c>
      <c r="Y9" s="7">
        <v>463.86</v>
      </c>
      <c r="Z9" s="7">
        <v>205.7</v>
      </c>
      <c r="AA9" s="7">
        <v>31.49</v>
      </c>
      <c r="AB9" s="7">
        <v>-13.59</v>
      </c>
      <c r="AC9" s="7">
        <v>127.32</v>
      </c>
      <c r="AD9" s="8">
        <v>-0.41970000000000002</v>
      </c>
      <c r="AE9" s="8">
        <v>0.12870000000000001</v>
      </c>
      <c r="AF9" s="7">
        <v>29.12</v>
      </c>
      <c r="AG9" s="7">
        <v>25.42</v>
      </c>
      <c r="AH9" s="7">
        <v>0.105</v>
      </c>
    </row>
    <row r="10" spans="1:34" s="1" customFormat="1" x14ac:dyDescent="0.35">
      <c r="A10" s="2">
        <v>2020</v>
      </c>
      <c r="B10" s="3">
        <v>8</v>
      </c>
      <c r="C10" s="3">
        <v>15</v>
      </c>
      <c r="D10" s="3">
        <v>8</v>
      </c>
      <c r="E10" s="3">
        <v>30</v>
      </c>
      <c r="F10" s="3">
        <v>228</v>
      </c>
      <c r="G10" s="3">
        <v>8.5</v>
      </c>
      <c r="H10" s="4">
        <v>228.35417000000001</v>
      </c>
      <c r="I10" s="5">
        <v>1.35</v>
      </c>
      <c r="J10" s="6">
        <v>275.39999999999998</v>
      </c>
      <c r="K10" s="7">
        <v>31.97</v>
      </c>
      <c r="L10" s="7">
        <v>29.82</v>
      </c>
      <c r="M10" s="7">
        <v>15.25</v>
      </c>
      <c r="N10" s="7">
        <v>2.13</v>
      </c>
      <c r="O10" s="7">
        <v>4.2</v>
      </c>
      <c r="P10" s="7">
        <v>2.0699999999999998</v>
      </c>
      <c r="Q10" s="7">
        <v>100.35</v>
      </c>
      <c r="R10" s="7">
        <v>789.1</v>
      </c>
      <c r="S10" s="8">
        <v>1.1293</v>
      </c>
      <c r="T10" s="7">
        <v>1016.16</v>
      </c>
      <c r="U10" s="8">
        <v>2.4302000000000001</v>
      </c>
      <c r="V10" s="7">
        <v>501.16</v>
      </c>
      <c r="W10" s="7">
        <v>105.79</v>
      </c>
      <c r="X10" s="7">
        <v>412.08</v>
      </c>
      <c r="Y10" s="7">
        <v>483.71</v>
      </c>
      <c r="Z10" s="7">
        <v>323.74</v>
      </c>
      <c r="AA10" s="7">
        <v>45.55</v>
      </c>
      <c r="AB10" s="7">
        <v>-17.12</v>
      </c>
      <c r="AC10" s="7">
        <v>231.65</v>
      </c>
      <c r="AD10" s="8">
        <v>-0.81820000000000004</v>
      </c>
      <c r="AE10" s="8">
        <v>0.18110000000000001</v>
      </c>
      <c r="AF10" s="7">
        <v>32.299999999999997</v>
      </c>
      <c r="AG10" s="7">
        <v>26.25</v>
      </c>
      <c r="AH10" s="7">
        <v>0.105</v>
      </c>
    </row>
    <row r="11" spans="1:34" s="1" customFormat="1" x14ac:dyDescent="0.35">
      <c r="A11" s="2">
        <v>2020</v>
      </c>
      <c r="B11" s="3">
        <v>8</v>
      </c>
      <c r="C11" s="3">
        <v>15</v>
      </c>
      <c r="D11" s="3">
        <v>9</v>
      </c>
      <c r="E11" s="3">
        <v>30</v>
      </c>
      <c r="F11" s="3">
        <v>228</v>
      </c>
      <c r="G11" s="3">
        <v>9.5</v>
      </c>
      <c r="H11" s="4">
        <v>228.39582999999999</v>
      </c>
      <c r="I11" s="5">
        <v>1.51</v>
      </c>
      <c r="J11" s="6">
        <v>262.10000000000002</v>
      </c>
      <c r="K11" s="7">
        <v>33.840000000000003</v>
      </c>
      <c r="L11" s="7">
        <v>31.7</v>
      </c>
      <c r="M11" s="7">
        <v>15.77</v>
      </c>
      <c r="N11" s="7">
        <v>2.2200000000000002</v>
      </c>
      <c r="O11" s="7">
        <v>4.68</v>
      </c>
      <c r="P11" s="7">
        <v>2.46</v>
      </c>
      <c r="Q11" s="7">
        <v>100.37</v>
      </c>
      <c r="R11" s="7">
        <v>769.08</v>
      </c>
      <c r="S11" s="8">
        <v>1.1214999999999999</v>
      </c>
      <c r="T11" s="7">
        <v>1016.61</v>
      </c>
      <c r="U11" s="8">
        <v>2.4258000000000002</v>
      </c>
      <c r="V11" s="7">
        <v>596.16</v>
      </c>
      <c r="W11" s="7">
        <v>122.83</v>
      </c>
      <c r="X11" s="7">
        <v>425.34</v>
      </c>
      <c r="Y11" s="7">
        <v>498.68</v>
      </c>
      <c r="Z11" s="7">
        <v>399.99</v>
      </c>
      <c r="AA11" s="7">
        <v>73.09</v>
      </c>
      <c r="AB11" s="7">
        <v>-19.440000000000001</v>
      </c>
      <c r="AC11" s="7">
        <v>318.24</v>
      </c>
      <c r="AD11" s="8">
        <v>-0.81630000000000003</v>
      </c>
      <c r="AE11" s="8">
        <v>0.2165</v>
      </c>
      <c r="AF11" s="7">
        <v>34.64</v>
      </c>
      <c r="AG11" s="7">
        <v>27.25</v>
      </c>
      <c r="AH11" s="7">
        <v>0.105</v>
      </c>
    </row>
    <row r="12" spans="1:34" s="1" customFormat="1" x14ac:dyDescent="0.35">
      <c r="A12" s="2">
        <v>2020</v>
      </c>
      <c r="B12" s="3">
        <v>8</v>
      </c>
      <c r="C12" s="3">
        <v>15</v>
      </c>
      <c r="D12" s="3">
        <v>10</v>
      </c>
      <c r="E12" s="3">
        <v>30</v>
      </c>
      <c r="F12" s="3">
        <v>228</v>
      </c>
      <c r="G12" s="3">
        <v>10.5</v>
      </c>
      <c r="H12" s="4">
        <v>228.4375</v>
      </c>
      <c r="I12" s="5">
        <v>0.87</v>
      </c>
      <c r="J12" s="6">
        <v>235.9</v>
      </c>
      <c r="K12" s="7">
        <v>34.42</v>
      </c>
      <c r="L12" s="7">
        <v>31.89</v>
      </c>
      <c r="M12" s="7">
        <v>18.850000000000001</v>
      </c>
      <c r="N12" s="7">
        <v>2.65</v>
      </c>
      <c r="O12" s="7">
        <v>4.7300000000000004</v>
      </c>
      <c r="P12" s="7">
        <v>2.0699999999999998</v>
      </c>
      <c r="Q12" s="7">
        <v>100.36</v>
      </c>
      <c r="R12" s="7">
        <v>745.73</v>
      </c>
      <c r="S12" s="8">
        <v>1.1157999999999999</v>
      </c>
      <c r="T12" s="7">
        <v>1018.88</v>
      </c>
      <c r="U12" s="8">
        <v>2.4253</v>
      </c>
      <c r="V12" s="7">
        <v>365.58</v>
      </c>
      <c r="W12" s="7">
        <v>74.28</v>
      </c>
      <c r="X12" s="7">
        <v>448.38</v>
      </c>
      <c r="Y12" s="7">
        <v>492.9</v>
      </c>
      <c r="Z12" s="7">
        <v>246.78</v>
      </c>
      <c r="AA12" s="7">
        <v>48.02</v>
      </c>
      <c r="AB12" s="7">
        <v>-2.63</v>
      </c>
      <c r="AC12" s="7">
        <v>248.68</v>
      </c>
      <c r="AD12" s="8">
        <v>-0.87070000000000003</v>
      </c>
      <c r="AE12" s="8">
        <v>0.1552</v>
      </c>
      <c r="AF12" s="7">
        <v>33.74</v>
      </c>
      <c r="AG12" s="7">
        <v>28.39</v>
      </c>
      <c r="AH12" s="7">
        <v>0.106</v>
      </c>
    </row>
    <row r="13" spans="1:34" s="1" customFormat="1" x14ac:dyDescent="0.35">
      <c r="A13" s="2">
        <v>2020</v>
      </c>
      <c r="B13" s="3">
        <v>8</v>
      </c>
      <c r="C13" s="3">
        <v>15</v>
      </c>
      <c r="D13" s="3">
        <v>11</v>
      </c>
      <c r="E13" s="3">
        <v>30</v>
      </c>
      <c r="F13" s="3">
        <v>228</v>
      </c>
      <c r="G13" s="3">
        <v>11.5</v>
      </c>
      <c r="H13" s="4">
        <v>228.47917000000001</v>
      </c>
      <c r="I13" s="5">
        <v>1.34</v>
      </c>
      <c r="J13" s="6">
        <v>249.5</v>
      </c>
      <c r="K13" s="7">
        <v>35.630000000000003</v>
      </c>
      <c r="L13" s="7">
        <v>33.049999999999997</v>
      </c>
      <c r="M13" s="7">
        <v>19.079999999999998</v>
      </c>
      <c r="N13" s="7">
        <v>2.7</v>
      </c>
      <c r="O13" s="7">
        <v>5.05</v>
      </c>
      <c r="P13" s="7">
        <v>2.35</v>
      </c>
      <c r="Q13" s="7">
        <v>100.36</v>
      </c>
      <c r="R13" s="7">
        <v>709.77</v>
      </c>
      <c r="S13" s="8">
        <v>1.1112</v>
      </c>
      <c r="T13" s="7">
        <v>1019.11</v>
      </c>
      <c r="U13" s="8">
        <v>2.4226000000000001</v>
      </c>
      <c r="V13" s="7">
        <v>530.03</v>
      </c>
      <c r="W13" s="7">
        <v>107.71</v>
      </c>
      <c r="X13" s="7">
        <v>449.92</v>
      </c>
      <c r="Y13" s="7">
        <v>504.19</v>
      </c>
      <c r="Z13" s="7">
        <v>368.05</v>
      </c>
      <c r="AA13" s="7">
        <v>67.069999999999993</v>
      </c>
      <c r="AB13" s="7">
        <v>-31.92</v>
      </c>
      <c r="AC13" s="7">
        <v>300.62</v>
      </c>
      <c r="AD13" s="8">
        <v>-0.86809999999999998</v>
      </c>
      <c r="AE13" s="8">
        <v>0.17910000000000001</v>
      </c>
      <c r="AF13" s="7">
        <v>35.49</v>
      </c>
      <c r="AG13" s="7">
        <v>29.33</v>
      </c>
      <c r="AH13" s="7">
        <v>0.107</v>
      </c>
    </row>
    <row r="14" spans="1:34" s="1" customFormat="1" x14ac:dyDescent="0.35">
      <c r="A14" s="2">
        <v>2020</v>
      </c>
      <c r="B14" s="3">
        <v>8</v>
      </c>
      <c r="C14" s="3">
        <v>15</v>
      </c>
      <c r="D14" s="3">
        <v>12</v>
      </c>
      <c r="E14" s="3">
        <v>30</v>
      </c>
      <c r="F14" s="3">
        <v>228</v>
      </c>
      <c r="G14" s="3">
        <v>12.5</v>
      </c>
      <c r="H14" s="4">
        <v>228.52082999999999</v>
      </c>
      <c r="I14" s="5">
        <v>1.22</v>
      </c>
      <c r="J14" s="6">
        <v>315.8</v>
      </c>
      <c r="K14" s="7">
        <v>36.36</v>
      </c>
      <c r="L14" s="7">
        <v>34</v>
      </c>
      <c r="M14" s="7">
        <v>16.79</v>
      </c>
      <c r="N14" s="7">
        <v>2.38</v>
      </c>
      <c r="O14" s="7">
        <v>5.32</v>
      </c>
      <c r="P14" s="7">
        <v>2.94</v>
      </c>
      <c r="Q14" s="7">
        <v>100.32</v>
      </c>
      <c r="R14" s="7">
        <v>699.6</v>
      </c>
      <c r="S14" s="8">
        <v>1.1108</v>
      </c>
      <c r="T14" s="7">
        <v>1017.46</v>
      </c>
      <c r="U14" s="8">
        <v>2.4203000000000001</v>
      </c>
      <c r="V14" s="7">
        <v>551.95000000000005</v>
      </c>
      <c r="W14" s="7">
        <v>112.22</v>
      </c>
      <c r="X14" s="7">
        <v>449.71</v>
      </c>
      <c r="Y14" s="7">
        <v>506.78</v>
      </c>
      <c r="Z14" s="7">
        <v>382.65</v>
      </c>
      <c r="AA14" s="7">
        <v>52.02</v>
      </c>
      <c r="AB14" s="7">
        <v>-47.25</v>
      </c>
      <c r="AC14" s="7">
        <v>336.29</v>
      </c>
      <c r="AD14" s="8">
        <v>-0.92030000000000001</v>
      </c>
      <c r="AE14" s="8">
        <v>0.16569999999999999</v>
      </c>
      <c r="AF14" s="7">
        <v>35.880000000000003</v>
      </c>
      <c r="AG14" s="7">
        <v>30.26</v>
      </c>
      <c r="AH14" s="7">
        <v>0.108</v>
      </c>
    </row>
    <row r="15" spans="1:34" s="1" customFormat="1" x14ac:dyDescent="0.35">
      <c r="A15" s="2">
        <v>2020</v>
      </c>
      <c r="B15" s="3">
        <v>8</v>
      </c>
      <c r="C15" s="3">
        <v>15</v>
      </c>
      <c r="D15" s="3">
        <v>13</v>
      </c>
      <c r="E15" s="3">
        <v>30</v>
      </c>
      <c r="F15" s="3">
        <v>228</v>
      </c>
      <c r="G15" s="3">
        <v>13.5</v>
      </c>
      <c r="H15" s="4">
        <v>228.5625</v>
      </c>
      <c r="I15" s="5">
        <v>1.01</v>
      </c>
      <c r="J15" s="6">
        <v>44.9</v>
      </c>
      <c r="K15" s="7">
        <v>37.04</v>
      </c>
      <c r="L15" s="7">
        <v>34.72</v>
      </c>
      <c r="M15" s="7">
        <v>17.39</v>
      </c>
      <c r="N15" s="7">
        <v>2.4700000000000002</v>
      </c>
      <c r="O15" s="7">
        <v>5.54</v>
      </c>
      <c r="P15" s="7">
        <v>3.06</v>
      </c>
      <c r="Q15" s="7">
        <v>100.25</v>
      </c>
      <c r="R15" s="7">
        <v>693.62</v>
      </c>
      <c r="S15" s="8">
        <v>1.1064000000000001</v>
      </c>
      <c r="T15" s="7">
        <v>1017.95</v>
      </c>
      <c r="U15" s="8">
        <v>2.4186000000000001</v>
      </c>
      <c r="V15" s="7">
        <v>347.69</v>
      </c>
      <c r="W15" s="7">
        <v>67.11</v>
      </c>
      <c r="X15" s="7">
        <v>465.15</v>
      </c>
      <c r="Y15" s="7">
        <v>504.69</v>
      </c>
      <c r="Z15" s="7">
        <v>241.05</v>
      </c>
      <c r="AA15" s="7">
        <v>28.29</v>
      </c>
      <c r="AB15" s="7">
        <v>-26.18</v>
      </c>
      <c r="AC15" s="7">
        <v>180.5</v>
      </c>
      <c r="AD15" s="8">
        <v>-0.52029999999999998</v>
      </c>
      <c r="AE15" s="8">
        <v>0.14580000000000001</v>
      </c>
      <c r="AF15" s="7">
        <v>35.56</v>
      </c>
      <c r="AG15" s="7">
        <v>31</v>
      </c>
      <c r="AH15" s="7">
        <v>0.10299999999999999</v>
      </c>
    </row>
    <row r="16" spans="1:34" s="1" customFormat="1" x14ac:dyDescent="0.35">
      <c r="A16" s="2">
        <v>2020</v>
      </c>
      <c r="B16" s="3">
        <v>8</v>
      </c>
      <c r="C16" s="3">
        <v>15</v>
      </c>
      <c r="D16" s="3">
        <v>14</v>
      </c>
      <c r="E16" s="3">
        <v>30</v>
      </c>
      <c r="F16" s="3">
        <v>228</v>
      </c>
      <c r="G16" s="3">
        <v>14.5</v>
      </c>
      <c r="H16" s="4">
        <v>228.60417000000001</v>
      </c>
      <c r="I16" s="5">
        <v>0.98</v>
      </c>
      <c r="J16" s="6">
        <v>193.8</v>
      </c>
      <c r="K16" s="7">
        <v>35.619999999999997</v>
      </c>
      <c r="L16" s="7">
        <v>32.6</v>
      </c>
      <c r="M16" s="7">
        <v>22.21</v>
      </c>
      <c r="N16" s="7">
        <v>3.13</v>
      </c>
      <c r="O16" s="7">
        <v>4.92</v>
      </c>
      <c r="P16" s="7">
        <v>1.78</v>
      </c>
      <c r="Q16" s="7">
        <v>100.24</v>
      </c>
      <c r="R16" s="7">
        <v>671.98</v>
      </c>
      <c r="S16" s="8">
        <v>1.1064000000000001</v>
      </c>
      <c r="T16" s="7">
        <v>1021.41</v>
      </c>
      <c r="U16" s="8">
        <v>2.4236</v>
      </c>
      <c r="V16" s="7">
        <v>212.72</v>
      </c>
      <c r="W16" s="7">
        <v>44.03</v>
      </c>
      <c r="X16" s="7">
        <v>457.52</v>
      </c>
      <c r="Y16" s="7">
        <v>489.89</v>
      </c>
      <c r="Z16" s="7">
        <v>136.31</v>
      </c>
      <c r="AA16" s="7">
        <v>8.58</v>
      </c>
      <c r="AB16" s="7">
        <v>-24.63</v>
      </c>
      <c r="AC16" s="7">
        <v>88.59</v>
      </c>
      <c r="AD16" s="8">
        <v>-0.25240000000000001</v>
      </c>
      <c r="AE16" s="8">
        <v>0.13270000000000001</v>
      </c>
      <c r="AF16" s="7">
        <v>33.270000000000003</v>
      </c>
      <c r="AG16" s="7">
        <v>31.3</v>
      </c>
      <c r="AH16" s="7">
        <v>0.1</v>
      </c>
    </row>
    <row r="17" spans="1:34" s="1" customFormat="1" x14ac:dyDescent="0.35">
      <c r="A17" s="2">
        <v>2020</v>
      </c>
      <c r="B17" s="3">
        <v>8</v>
      </c>
      <c r="C17" s="3">
        <v>15</v>
      </c>
      <c r="D17" s="3">
        <v>15</v>
      </c>
      <c r="E17" s="3">
        <v>30</v>
      </c>
      <c r="F17" s="3">
        <v>228</v>
      </c>
      <c r="G17" s="3">
        <v>15.5</v>
      </c>
      <c r="H17" s="4">
        <v>228.64582999999999</v>
      </c>
      <c r="I17" s="5">
        <v>0.54</v>
      </c>
      <c r="J17" s="6">
        <v>55.1</v>
      </c>
      <c r="K17" s="7">
        <v>36.25</v>
      </c>
      <c r="L17" s="7">
        <v>32.770000000000003</v>
      </c>
      <c r="M17" s="7">
        <v>24.54</v>
      </c>
      <c r="N17" s="7">
        <v>3.46</v>
      </c>
      <c r="O17" s="7">
        <v>4.96</v>
      </c>
      <c r="P17" s="7">
        <v>1.5</v>
      </c>
      <c r="Q17" s="7">
        <v>100.12</v>
      </c>
      <c r="R17" s="7">
        <v>651.99</v>
      </c>
      <c r="S17" s="8">
        <v>1.1007</v>
      </c>
      <c r="T17" s="7">
        <v>1023.17</v>
      </c>
      <c r="U17" s="8">
        <v>2.4232</v>
      </c>
      <c r="V17" s="7">
        <v>202.91</v>
      </c>
      <c r="W17" s="7">
        <v>41.9</v>
      </c>
      <c r="X17" s="7">
        <v>454.14</v>
      </c>
      <c r="Y17" s="7">
        <v>495.31</v>
      </c>
      <c r="Z17" s="7">
        <v>119.83</v>
      </c>
      <c r="AA17" s="7">
        <v>19.78</v>
      </c>
      <c r="AB17" s="7">
        <v>-8.31</v>
      </c>
      <c r="AC17" s="7">
        <v>82.47</v>
      </c>
      <c r="AD17" s="8">
        <v>-0.28739999999999999</v>
      </c>
      <c r="AE17" s="8">
        <v>8.2100000000000006E-2</v>
      </c>
      <c r="AF17" s="7">
        <v>34.119999999999997</v>
      </c>
      <c r="AG17" s="7">
        <v>31.36</v>
      </c>
      <c r="AH17" s="7">
        <v>9.7000000000000003E-2</v>
      </c>
    </row>
    <row r="18" spans="1:34" s="1" customFormat="1" x14ac:dyDescent="0.35">
      <c r="A18" s="2">
        <v>2020</v>
      </c>
      <c r="B18" s="3">
        <v>8</v>
      </c>
      <c r="C18" s="3">
        <v>15</v>
      </c>
      <c r="D18" s="3">
        <v>16</v>
      </c>
      <c r="E18" s="3">
        <v>30</v>
      </c>
      <c r="F18" s="3">
        <v>228</v>
      </c>
      <c r="G18" s="3">
        <v>16.5</v>
      </c>
      <c r="H18" s="4">
        <v>228.6875</v>
      </c>
      <c r="I18" s="5">
        <v>0.27</v>
      </c>
      <c r="J18" s="6">
        <v>188.2</v>
      </c>
      <c r="K18" s="7">
        <v>35.46</v>
      </c>
      <c r="L18" s="7">
        <v>32.26</v>
      </c>
      <c r="M18" s="7">
        <v>23.46</v>
      </c>
      <c r="N18" s="7">
        <v>3.31</v>
      </c>
      <c r="O18" s="7">
        <v>4.83</v>
      </c>
      <c r="P18" s="7">
        <v>1.52</v>
      </c>
      <c r="Q18" s="7">
        <v>100.11</v>
      </c>
      <c r="R18" s="7">
        <v>678.26</v>
      </c>
      <c r="S18" s="8">
        <v>1.1042000000000001</v>
      </c>
      <c r="T18" s="7">
        <v>1022.34</v>
      </c>
      <c r="U18" s="8">
        <v>2.4243999999999999</v>
      </c>
      <c r="V18" s="7">
        <v>88.67</v>
      </c>
      <c r="W18" s="7">
        <v>19</v>
      </c>
      <c r="X18" s="7">
        <v>459.04</v>
      </c>
      <c r="Y18" s="7">
        <v>485.95</v>
      </c>
      <c r="Z18" s="7">
        <v>42.77</v>
      </c>
      <c r="AA18" s="7">
        <v>4.0199999999999996</v>
      </c>
      <c r="AB18" s="7">
        <v>-23.9</v>
      </c>
      <c r="AC18" s="7">
        <v>135.91999999999999</v>
      </c>
      <c r="AD18" s="8">
        <v>-0.33560000000000001</v>
      </c>
      <c r="AE18" s="8">
        <v>0.25340000000000001</v>
      </c>
      <c r="AF18" s="7">
        <v>32.659999999999997</v>
      </c>
      <c r="AG18" s="7">
        <v>31.37</v>
      </c>
      <c r="AH18" s="7">
        <v>9.6000000000000002E-2</v>
      </c>
    </row>
    <row r="19" spans="1:34" s="1" customFormat="1" x14ac:dyDescent="0.35">
      <c r="A19" s="2">
        <v>2020</v>
      </c>
      <c r="B19" s="3">
        <v>8</v>
      </c>
      <c r="C19" s="3">
        <v>15</v>
      </c>
      <c r="D19" s="3">
        <v>17</v>
      </c>
      <c r="E19" s="3">
        <v>30</v>
      </c>
      <c r="F19" s="3">
        <v>228</v>
      </c>
      <c r="G19" s="3">
        <v>17.5</v>
      </c>
      <c r="H19" s="4">
        <v>228.72917000000001</v>
      </c>
      <c r="I19" s="5">
        <v>0.88</v>
      </c>
      <c r="J19" s="6">
        <v>194.1</v>
      </c>
      <c r="K19" s="7">
        <v>34.31</v>
      </c>
      <c r="L19" s="7">
        <v>31.73</v>
      </c>
      <c r="M19" s="7">
        <v>18.86</v>
      </c>
      <c r="N19" s="7">
        <v>2.65</v>
      </c>
      <c r="O19" s="7">
        <v>4.68</v>
      </c>
      <c r="P19" s="7">
        <v>2.0299999999999998</v>
      </c>
      <c r="Q19" s="7">
        <v>100.09</v>
      </c>
      <c r="R19" s="7">
        <v>721.63</v>
      </c>
      <c r="S19" s="8">
        <v>1.1133</v>
      </c>
      <c r="T19" s="7">
        <v>1018.92</v>
      </c>
      <c r="U19" s="8">
        <v>2.4257</v>
      </c>
      <c r="V19" s="7">
        <v>67.11</v>
      </c>
      <c r="W19" s="7">
        <v>16.170000000000002</v>
      </c>
      <c r="X19" s="7">
        <v>458.52</v>
      </c>
      <c r="Y19" s="7">
        <v>479.26</v>
      </c>
      <c r="Z19" s="7">
        <v>30.19</v>
      </c>
      <c r="AA19" s="7">
        <v>-9.74</v>
      </c>
      <c r="AB19" s="7">
        <v>-39.35</v>
      </c>
      <c r="AC19" s="7">
        <v>116.5</v>
      </c>
      <c r="AD19" s="8">
        <v>-8.4699999999999998E-2</v>
      </c>
      <c r="AE19" s="8">
        <v>0.186</v>
      </c>
      <c r="AF19" s="7">
        <v>31.6</v>
      </c>
      <c r="AG19" s="7">
        <v>31.03</v>
      </c>
      <c r="AH19" s="7">
        <v>9.4E-2</v>
      </c>
    </row>
    <row r="20" spans="1:34" s="1" customFormat="1" x14ac:dyDescent="0.35">
      <c r="A20" s="2">
        <v>2020</v>
      </c>
      <c r="B20" s="3">
        <v>8</v>
      </c>
      <c r="C20" s="3">
        <v>15</v>
      </c>
      <c r="D20" s="3">
        <v>18</v>
      </c>
      <c r="E20" s="3">
        <v>30</v>
      </c>
      <c r="F20" s="3">
        <v>228</v>
      </c>
      <c r="G20" s="3">
        <v>18.5</v>
      </c>
      <c r="H20" s="4">
        <v>228.77082999999999</v>
      </c>
      <c r="I20" s="5">
        <v>1.04</v>
      </c>
      <c r="J20" s="6">
        <v>184.3</v>
      </c>
      <c r="K20" s="7">
        <v>33.01</v>
      </c>
      <c r="L20" s="7">
        <v>30.67</v>
      </c>
      <c r="M20" s="7">
        <v>17.05</v>
      </c>
      <c r="N20" s="7">
        <v>2.39</v>
      </c>
      <c r="O20" s="7">
        <v>4.41</v>
      </c>
      <c r="P20" s="7">
        <v>2.02</v>
      </c>
      <c r="Q20" s="7">
        <v>100.15</v>
      </c>
      <c r="R20" s="7">
        <v>745.06</v>
      </c>
      <c r="S20" s="8">
        <v>1.1208</v>
      </c>
      <c r="T20" s="7">
        <v>1017.54</v>
      </c>
      <c r="U20" s="8">
        <v>2.4281999999999999</v>
      </c>
      <c r="V20" s="7">
        <v>20.170000000000002</v>
      </c>
      <c r="W20" s="7">
        <v>5.67</v>
      </c>
      <c r="X20" s="7">
        <v>450.44</v>
      </c>
      <c r="Y20" s="7">
        <v>473.72</v>
      </c>
      <c r="Z20" s="7">
        <v>-8.77</v>
      </c>
      <c r="AA20" s="7">
        <v>-21.41</v>
      </c>
      <c r="AB20" s="7">
        <v>-30.97</v>
      </c>
      <c r="AC20" s="7">
        <v>34.42</v>
      </c>
      <c r="AD20" s="8">
        <v>7.0900000000000005E-2</v>
      </c>
      <c r="AE20" s="8">
        <v>0.17680000000000001</v>
      </c>
      <c r="AF20" s="7">
        <v>30.71</v>
      </c>
      <c r="AG20" s="7">
        <v>30.49</v>
      </c>
      <c r="AH20" s="7">
        <v>9.2999999999999999E-2</v>
      </c>
    </row>
    <row r="21" spans="1:34" s="1" customFormat="1" x14ac:dyDescent="0.35">
      <c r="A21" s="2">
        <v>2020</v>
      </c>
      <c r="B21" s="3">
        <v>8</v>
      </c>
      <c r="C21" s="3">
        <v>15</v>
      </c>
      <c r="D21" s="3">
        <v>19</v>
      </c>
      <c r="E21" s="3">
        <v>30</v>
      </c>
      <c r="F21" s="3">
        <v>228</v>
      </c>
      <c r="G21" s="3">
        <v>19.5</v>
      </c>
      <c r="H21" s="4">
        <v>228.8125</v>
      </c>
      <c r="I21" s="5">
        <v>0.71</v>
      </c>
      <c r="J21" s="6">
        <v>155.4</v>
      </c>
      <c r="K21" s="7">
        <v>31.43</v>
      </c>
      <c r="L21" s="7">
        <v>29</v>
      </c>
      <c r="M21" s="7">
        <v>17.59</v>
      </c>
      <c r="N21" s="7">
        <v>2.4500000000000002</v>
      </c>
      <c r="O21" s="7">
        <v>4.01</v>
      </c>
      <c r="P21" s="7">
        <v>1.55</v>
      </c>
      <c r="Q21" s="7">
        <v>100.16</v>
      </c>
      <c r="R21" s="7">
        <v>778.84</v>
      </c>
      <c r="S21" s="8">
        <v>1.1265000000000001</v>
      </c>
      <c r="T21" s="7">
        <v>1017.86</v>
      </c>
      <c r="U21" s="8">
        <v>2.4321999999999999</v>
      </c>
      <c r="V21" s="7">
        <v>0</v>
      </c>
      <c r="W21" s="7">
        <v>0</v>
      </c>
      <c r="X21" s="7">
        <v>445.06</v>
      </c>
      <c r="Y21" s="7">
        <v>464.43</v>
      </c>
      <c r="Z21" s="7">
        <v>-19.36</v>
      </c>
      <c r="AA21" s="7">
        <v>-20.22</v>
      </c>
      <c r="AB21" s="7">
        <v>-19.420000000000002</v>
      </c>
      <c r="AC21" s="7">
        <v>33.78</v>
      </c>
      <c r="AD21" s="8">
        <v>0.1012</v>
      </c>
      <c r="AE21" s="8">
        <v>0.1618</v>
      </c>
      <c r="AF21" s="7">
        <v>29.21</v>
      </c>
      <c r="AG21" s="7">
        <v>29.95</v>
      </c>
      <c r="AH21" s="7">
        <v>9.1999999999999998E-2</v>
      </c>
    </row>
    <row r="22" spans="1:34" s="1" customFormat="1" x14ac:dyDescent="0.35">
      <c r="A22" s="2">
        <v>2020</v>
      </c>
      <c r="B22" s="3">
        <v>8</v>
      </c>
      <c r="C22" s="3">
        <v>15</v>
      </c>
      <c r="D22" s="3">
        <v>20</v>
      </c>
      <c r="E22" s="3">
        <v>30</v>
      </c>
      <c r="F22" s="3">
        <v>228</v>
      </c>
      <c r="G22" s="3">
        <v>20.5</v>
      </c>
      <c r="H22" s="4">
        <v>228.85417000000001</v>
      </c>
      <c r="I22" s="5">
        <v>0.24</v>
      </c>
      <c r="J22" s="6">
        <v>225.9</v>
      </c>
      <c r="K22" s="7">
        <v>30.38</v>
      </c>
      <c r="L22" s="7">
        <v>28.01</v>
      </c>
      <c r="M22" s="7">
        <v>16.93</v>
      </c>
      <c r="N22" s="7">
        <v>2.35</v>
      </c>
      <c r="O22" s="7">
        <v>3.78</v>
      </c>
      <c r="P22" s="7">
        <v>1.43</v>
      </c>
      <c r="Q22" s="7">
        <v>100.19</v>
      </c>
      <c r="R22" s="7">
        <v>806.7</v>
      </c>
      <c r="S22" s="8">
        <v>1.1316999999999999</v>
      </c>
      <c r="T22" s="7">
        <v>1017.33</v>
      </c>
      <c r="U22" s="8">
        <v>2.4344999999999999</v>
      </c>
      <c r="V22" s="7">
        <v>0</v>
      </c>
      <c r="W22" s="7">
        <v>0</v>
      </c>
      <c r="X22" s="7">
        <v>422.25</v>
      </c>
      <c r="Y22" s="7">
        <v>453.77</v>
      </c>
      <c r="Z22" s="7">
        <v>-31.52</v>
      </c>
      <c r="AA22" s="7">
        <v>-26.74</v>
      </c>
      <c r="AB22" s="7">
        <v>-27.11</v>
      </c>
      <c r="AC22" s="7">
        <v>43.31</v>
      </c>
      <c r="AD22" s="8">
        <v>5.0900000000000001E-2</v>
      </c>
      <c r="AE22" s="8">
        <v>0.2243</v>
      </c>
      <c r="AF22" s="7">
        <v>27.46</v>
      </c>
      <c r="AG22" s="7">
        <v>29.41</v>
      </c>
      <c r="AH22" s="7">
        <v>9.0999999999999998E-2</v>
      </c>
    </row>
    <row r="23" spans="1:34" s="1" customFormat="1" x14ac:dyDescent="0.35">
      <c r="A23" s="2">
        <v>2020</v>
      </c>
      <c r="B23" s="3">
        <v>8</v>
      </c>
      <c r="C23" s="3">
        <v>15</v>
      </c>
      <c r="D23" s="3">
        <v>21</v>
      </c>
      <c r="E23" s="3">
        <v>30</v>
      </c>
      <c r="F23" s="3">
        <v>228</v>
      </c>
      <c r="G23" s="3">
        <v>21.5</v>
      </c>
      <c r="H23" s="4">
        <v>228.89582999999999</v>
      </c>
      <c r="I23" s="5">
        <v>0.82</v>
      </c>
      <c r="J23" s="6">
        <v>44.3</v>
      </c>
      <c r="K23" s="7">
        <v>28.29</v>
      </c>
      <c r="L23" s="7">
        <v>26.1</v>
      </c>
      <c r="M23" s="7">
        <v>17.05</v>
      </c>
      <c r="N23" s="7">
        <v>2.35</v>
      </c>
      <c r="O23" s="7">
        <v>3.38</v>
      </c>
      <c r="P23" s="7">
        <v>1.03</v>
      </c>
      <c r="Q23" s="7">
        <v>100.19</v>
      </c>
      <c r="R23" s="7">
        <v>831.03</v>
      </c>
      <c r="S23" s="8">
        <v>1.1389</v>
      </c>
      <c r="T23" s="7">
        <v>1017.34</v>
      </c>
      <c r="U23" s="8">
        <v>2.4390000000000001</v>
      </c>
      <c r="V23" s="7">
        <v>0</v>
      </c>
      <c r="W23" s="7">
        <v>0</v>
      </c>
      <c r="X23" s="7">
        <v>408.26</v>
      </c>
      <c r="Y23" s="7">
        <v>443.18</v>
      </c>
      <c r="Z23" s="7">
        <v>-34.92</v>
      </c>
      <c r="AA23" s="7">
        <v>-21.93</v>
      </c>
      <c r="AB23" s="7">
        <v>-11.65</v>
      </c>
      <c r="AC23" s="7">
        <v>12.23</v>
      </c>
      <c r="AD23" s="8">
        <v>9.4399999999999998E-2</v>
      </c>
      <c r="AE23" s="8">
        <v>7.85E-2</v>
      </c>
      <c r="AF23" s="7">
        <v>25.69</v>
      </c>
      <c r="AG23" s="7">
        <v>28.84</v>
      </c>
      <c r="AH23" s="7">
        <v>0.09</v>
      </c>
    </row>
    <row r="24" spans="1:34" s="1" customFormat="1" x14ac:dyDescent="0.35">
      <c r="A24" s="2">
        <v>2020</v>
      </c>
      <c r="B24" s="3">
        <v>8</v>
      </c>
      <c r="C24" s="3">
        <v>15</v>
      </c>
      <c r="D24" s="3">
        <v>22</v>
      </c>
      <c r="E24" s="3">
        <v>30</v>
      </c>
      <c r="F24" s="3">
        <v>228</v>
      </c>
      <c r="G24" s="3">
        <v>22.5</v>
      </c>
      <c r="H24" s="4">
        <v>228.9375</v>
      </c>
      <c r="I24" s="5">
        <v>0.24</v>
      </c>
      <c r="J24" s="6">
        <v>270.39999999999998</v>
      </c>
      <c r="K24" s="7">
        <v>27.07</v>
      </c>
      <c r="L24" s="7">
        <v>24.69</v>
      </c>
      <c r="M24" s="7">
        <v>17.37</v>
      </c>
      <c r="N24" s="7">
        <v>2.39</v>
      </c>
      <c r="O24" s="7">
        <v>3.11</v>
      </c>
      <c r="P24" s="7">
        <v>0.72</v>
      </c>
      <c r="Q24" s="7">
        <v>100.17</v>
      </c>
      <c r="R24" s="7">
        <v>901.26</v>
      </c>
      <c r="S24" s="8">
        <v>1.1436999999999999</v>
      </c>
      <c r="T24" s="7">
        <v>1017.52</v>
      </c>
      <c r="U24" s="8">
        <v>2.4424000000000001</v>
      </c>
      <c r="V24" s="7">
        <v>0</v>
      </c>
      <c r="W24" s="7">
        <v>0</v>
      </c>
      <c r="X24" s="7">
        <v>400</v>
      </c>
      <c r="Y24" s="7">
        <v>432.72</v>
      </c>
      <c r="Z24" s="7">
        <v>-32.72</v>
      </c>
      <c r="AA24" s="7">
        <v>-28.48</v>
      </c>
      <c r="AB24" s="7">
        <v>-4.51</v>
      </c>
      <c r="AC24" s="7">
        <v>3.55</v>
      </c>
      <c r="AD24" s="8">
        <v>3.8300000000000001E-2</v>
      </c>
      <c r="AE24" s="8">
        <v>0.1138</v>
      </c>
      <c r="AF24" s="7">
        <v>23.91</v>
      </c>
      <c r="AG24" s="7">
        <v>28.27</v>
      </c>
      <c r="AH24" s="7">
        <v>8.8999999999999996E-2</v>
      </c>
    </row>
    <row r="25" spans="1:34" s="1" customFormat="1" x14ac:dyDescent="0.35">
      <c r="A25" s="2">
        <v>2020</v>
      </c>
      <c r="B25" s="3">
        <v>8</v>
      </c>
      <c r="C25" s="3">
        <v>15</v>
      </c>
      <c r="D25" s="3">
        <v>23</v>
      </c>
      <c r="E25" s="3">
        <v>30</v>
      </c>
      <c r="F25" s="3">
        <v>228</v>
      </c>
      <c r="G25" s="3">
        <v>23.5</v>
      </c>
      <c r="H25" s="4">
        <v>228.97917000000001</v>
      </c>
      <c r="I25" s="5">
        <v>1.23</v>
      </c>
      <c r="J25" s="6">
        <v>293.60000000000002</v>
      </c>
      <c r="K25" s="7">
        <v>26.32</v>
      </c>
      <c r="L25" s="7">
        <v>24.05</v>
      </c>
      <c r="M25" s="7">
        <v>16.670000000000002</v>
      </c>
      <c r="N25" s="7">
        <v>2.29</v>
      </c>
      <c r="O25" s="7">
        <v>2.99</v>
      </c>
      <c r="P25" s="7">
        <v>0.71</v>
      </c>
      <c r="Q25" s="7">
        <v>100.14</v>
      </c>
      <c r="R25" s="7">
        <v>885.72</v>
      </c>
      <c r="S25" s="8">
        <v>1.147</v>
      </c>
      <c r="T25" s="7">
        <v>1016.99</v>
      </c>
      <c r="U25" s="8">
        <v>2.4439000000000002</v>
      </c>
      <c r="V25" s="7">
        <v>0</v>
      </c>
      <c r="W25" s="7">
        <v>0</v>
      </c>
      <c r="X25" s="7">
        <v>396.62</v>
      </c>
      <c r="Y25" s="7">
        <v>431.55</v>
      </c>
      <c r="Z25" s="7">
        <v>-34.93</v>
      </c>
      <c r="AA25" s="7">
        <v>-33.71</v>
      </c>
      <c r="AB25" s="7">
        <v>-20.190000000000001</v>
      </c>
      <c r="AC25" s="7">
        <v>6.97</v>
      </c>
      <c r="AD25" s="8">
        <v>3.4200000000000001E-2</v>
      </c>
      <c r="AE25" s="8">
        <v>0.1162</v>
      </c>
      <c r="AF25" s="7">
        <v>23.71</v>
      </c>
      <c r="AG25" s="7">
        <v>27.69</v>
      </c>
      <c r="AH25" s="7">
        <v>8.8999999999999996E-2</v>
      </c>
    </row>
  </sheetData>
  <conditionalFormatting sqref="I2:AH25">
    <cfRule type="cellIs" dxfId="1" priority="1" operator="equal">
      <formula>-9999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Gao</dc:creator>
  <cp:lastModifiedBy>Rui Gao</cp:lastModifiedBy>
  <dcterms:created xsi:type="dcterms:W3CDTF">2015-06-05T18:17:20Z</dcterms:created>
  <dcterms:modified xsi:type="dcterms:W3CDTF">2026-03-24T01:11:52Z</dcterms:modified>
</cp:coreProperties>
</file>